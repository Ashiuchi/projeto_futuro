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Concursos\BB - 2025\"/>
    </mc:Choice>
  </mc:AlternateContent>
  <xr:revisionPtr revIDLastSave="0" documentId="13_ncr:1_{63737EC7-F3DF-4B8B-AD12-9F30AA29FB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o usar a planilha" sheetId="1" r:id="rId1"/>
    <sheet name="Grade Horária" sheetId="2" r:id="rId2"/>
    <sheet name="Ex. Ciclo de estudos" sheetId="4" r:id="rId3"/>
    <sheet name="Exemplo TCDF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K25" i="2" s="1"/>
  <c r="B22" i="2"/>
  <c r="M14" i="2"/>
  <c r="M15" i="2"/>
  <c r="M16" i="2"/>
  <c r="M17" i="2"/>
  <c r="M18" i="2"/>
  <c r="M23" i="2"/>
  <c r="M24" i="2"/>
  <c r="C28" i="2"/>
  <c r="C27" i="2"/>
  <c r="M20" i="2"/>
  <c r="M21" i="2"/>
  <c r="M22" i="2"/>
  <c r="H20" i="2"/>
  <c r="H21" i="2"/>
  <c r="H22" i="2"/>
  <c r="I31" i="3"/>
  <c r="L30" i="3"/>
  <c r="I30" i="3"/>
  <c r="D30" i="3"/>
  <c r="E30" i="3"/>
  <c r="L29" i="3"/>
  <c r="G29" i="3"/>
  <c r="L28" i="3"/>
  <c r="G28" i="3"/>
  <c r="A26" i="3"/>
  <c r="L24" i="3"/>
  <c r="G24" i="3"/>
  <c r="E24" i="3"/>
  <c r="L23" i="3"/>
  <c r="J23" i="3"/>
  <c r="G23" i="3"/>
  <c r="E23" i="3"/>
  <c r="L22" i="3"/>
  <c r="J22" i="3"/>
  <c r="G22" i="3"/>
  <c r="E22" i="3"/>
  <c r="L21" i="3"/>
  <c r="J21" i="3"/>
  <c r="G21" i="3"/>
  <c r="E21" i="3"/>
  <c r="L20" i="3"/>
  <c r="J20" i="3"/>
  <c r="G20" i="3"/>
  <c r="E20" i="3"/>
  <c r="L19" i="3"/>
  <c r="J19" i="3"/>
  <c r="G19" i="3"/>
  <c r="E19" i="3"/>
  <c r="L18" i="3"/>
  <c r="J18" i="3"/>
  <c r="G18" i="3"/>
  <c r="E18" i="3"/>
  <c r="L17" i="3"/>
  <c r="J17" i="3"/>
  <c r="G17" i="3"/>
  <c r="E17" i="3"/>
  <c r="L16" i="3"/>
  <c r="J16" i="3"/>
  <c r="G16" i="3"/>
  <c r="E16" i="3"/>
  <c r="L15" i="3"/>
  <c r="J15" i="3"/>
  <c r="G15" i="3"/>
  <c r="G30" i="3" s="1"/>
  <c r="E15" i="3"/>
  <c r="M25" i="2"/>
  <c r="H24" i="2"/>
  <c r="H23" i="2"/>
  <c r="M19" i="2"/>
  <c r="H19" i="2"/>
  <c r="H18" i="2"/>
  <c r="H17" i="2"/>
  <c r="H16" i="2"/>
  <c r="H15" i="2"/>
  <c r="H14" i="2"/>
  <c r="E25" i="2"/>
  <c r="E26" i="2" l="1"/>
  <c r="K23" i="2" s="1"/>
  <c r="H25" i="2"/>
  <c r="F25" i="2"/>
  <c r="F26" i="2" s="1"/>
  <c r="F22" i="2" l="1"/>
  <c r="K19" i="2"/>
  <c r="F20" i="2"/>
  <c r="F17" i="2"/>
  <c r="K22" i="2"/>
  <c r="F21" i="2"/>
  <c r="K21" i="2"/>
  <c r="K17" i="2"/>
  <c r="K18" i="2"/>
  <c r="F14" i="2"/>
  <c r="F23" i="2"/>
  <c r="F16" i="2"/>
  <c r="F24" i="2"/>
  <c r="F15" i="2"/>
  <c r="K24" i="2"/>
  <c r="K14" i="2"/>
  <c r="K20" i="2"/>
  <c r="F19" i="2"/>
  <c r="K16" i="2"/>
  <c r="K15" i="2"/>
  <c r="F18" i="2"/>
</calcChain>
</file>

<file path=xl/sharedStrings.xml><?xml version="1.0" encoding="utf-8"?>
<sst xmlns="http://schemas.openxmlformats.org/spreadsheetml/2006/main" count="227" uniqueCount="80">
  <si>
    <t>SIGA ESTE PASSO A PASSO E FAÇA UM DE CADA VEZ. NÃO PULE.</t>
  </si>
  <si>
    <t>Procure as cores das intruções nas planilhas.</t>
  </si>
  <si>
    <t>As matérias azuis são  "exatas" e as verdes "humanas".</t>
  </si>
  <si>
    <t>Pode usar o sábado e domingo também!</t>
  </si>
  <si>
    <t>Tire suas dúvidas usando o meu modelo na aba "EXEMPLO TCDF"</t>
  </si>
  <si>
    <t>1 - Defina seus horários  de estudo. Dividida seu tempo, preferencialmente, em blocos de 1 hora (50 minutos de estudo, 10 de intervalo)</t>
  </si>
  <si>
    <t xml:space="preserve">2 - Some as horas e Insira no campo "total de horas na semana" a quantidade de horas por semana que você vai estudar. </t>
  </si>
  <si>
    <r>
      <rPr>
        <sz val="11"/>
        <color theme="1"/>
        <rFont val="Calibri"/>
        <family val="2"/>
      </rPr>
      <t xml:space="preserve">3 - </t>
    </r>
    <r>
      <rPr>
        <b/>
        <sz val="11"/>
        <color theme="1"/>
        <rFont val="Calibri"/>
        <family val="2"/>
      </rPr>
      <t>Calculando o peso que cada matéria vai ter na sua prova</t>
    </r>
    <r>
      <rPr>
        <sz val="11"/>
        <color theme="1"/>
        <rFont val="Calibri"/>
        <family val="2"/>
      </rPr>
      <t>. SIGA OS PASSOS ABAIXO</t>
    </r>
  </si>
  <si>
    <t>3.1 - Para isso, apenas insira no campo "nota máx. na prova" (G28) a nota máxima possível na prova, ou seja, se você acertasse todos os itens.</t>
  </si>
  <si>
    <t>3.2 - Nas colunas "Nota máx. na matéria" (F15 e k15 para baixo) preencha a nota máxima possível em cada matéria.</t>
  </si>
  <si>
    <t>4.1 Exemplo: Português representa 8% da nota da sua prova e cada hora de estudo representa 2% do deu tempo semanal. Então, você vai colocar português em 4 horários da sua grade.</t>
  </si>
  <si>
    <r>
      <rPr>
        <sz val="11"/>
        <color theme="1"/>
        <rFont val="Calibri"/>
        <family val="2"/>
      </rPr>
      <t xml:space="preserve">4.2 Dica importante: nas matérias em que você tem </t>
    </r>
    <r>
      <rPr>
        <b/>
        <sz val="11"/>
        <color rgb="FF548135"/>
        <rFont val="Calibri (Corpo)"/>
      </rPr>
      <t>mais conhecimento</t>
    </r>
    <r>
      <rPr>
        <sz val="11"/>
        <color theme="1"/>
        <rFont val="Calibri"/>
        <family val="2"/>
      </rPr>
      <t xml:space="preserve">, se preciso, </t>
    </r>
    <r>
      <rPr>
        <b/>
        <sz val="11"/>
        <color rgb="FF548135"/>
        <rFont val="Calibri (Corpo)"/>
      </rPr>
      <t>deixe "faltar tempo"o</t>
    </r>
    <r>
      <rPr>
        <sz val="11"/>
        <color theme="1"/>
        <rFont val="Calibri"/>
        <family val="2"/>
      </rPr>
      <t xml:space="preserve"> e nas que tem </t>
    </r>
    <r>
      <rPr>
        <b/>
        <sz val="11"/>
        <color rgb="FFFF0000"/>
        <rFont val="Calibri (Corpo)"/>
      </rPr>
      <t>menos</t>
    </r>
    <r>
      <rPr>
        <sz val="11"/>
        <color theme="1"/>
        <rFont val="Calibri"/>
        <family val="2"/>
      </rPr>
      <t xml:space="preserve">, deixe </t>
    </r>
    <r>
      <rPr>
        <b/>
        <sz val="11"/>
        <color rgb="FFFF0000"/>
        <rFont val="Calibri (Corpo)"/>
      </rPr>
      <t>"sobrar tempo"</t>
    </r>
    <r>
      <rPr>
        <sz val="11"/>
        <color theme="1"/>
        <rFont val="Calibri"/>
        <family val="2"/>
      </rPr>
      <t>. Exemplo TCDF: Sou bom de português, a nota máxima de português é 10 e minha hora de estudo representa 2,86% do meu tempo total. Então, se eu dedicar 4 horários para português, isso representa 11,44% do meu tempo total. Se eu dedicar 3 horários, isso representa 8,58% do meu tempo. Como sou bom de português e ele representa 10% da nota da prova, coloco só 3 horários (8,58%) e "arredondo pra baixo".</t>
    </r>
  </si>
  <si>
    <t>5. Conferência: Veja se os valores de "peso/semana" e "peso na prova" estão coerentes.</t>
  </si>
  <si>
    <t>1. CONHECIMENTOS GERAIS</t>
  </si>
  <si>
    <t>H</t>
  </si>
  <si>
    <t>Segunda</t>
  </si>
  <si>
    <t>Terça</t>
  </si>
  <si>
    <t xml:space="preserve">Quarta </t>
  </si>
  <si>
    <t>Quinta</t>
  </si>
  <si>
    <t>Sexta</t>
  </si>
  <si>
    <t>Sábado</t>
  </si>
  <si>
    <t>Domingo</t>
  </si>
  <si>
    <t>Português</t>
  </si>
  <si>
    <t>Dir. Constitucional</t>
  </si>
  <si>
    <t>Dir. Administrativo</t>
  </si>
  <si>
    <t>Livre</t>
  </si>
  <si>
    <t>Raciocínio Lógico</t>
  </si>
  <si>
    <t>2. CONHECIMENTOS ESPECÍFICOS</t>
  </si>
  <si>
    <t>Conhecimentos gerais</t>
  </si>
  <si>
    <t>Conhecimentos Específicos</t>
  </si>
  <si>
    <t>Matéria</t>
  </si>
  <si>
    <t>Horas/Semana</t>
  </si>
  <si>
    <t>Peso/Semana</t>
  </si>
  <si>
    <t>Nota máx na matéria</t>
  </si>
  <si>
    <t>Peso/Prova</t>
  </si>
  <si>
    <t>UMA HORA DO SEU DIA REPRESENTA</t>
  </si>
  <si>
    <t>Total de Horas de estudo</t>
  </si>
  <si>
    <t>Peso de Conhec. Gerais</t>
  </si>
  <si>
    <t>Total Horas</t>
  </si>
  <si>
    <t>Total na Semana</t>
  </si>
  <si>
    <t>Nota máx na prova</t>
  </si>
  <si>
    <t>Total até a prova</t>
  </si>
  <si>
    <t>Estatística</t>
  </si>
  <si>
    <t>Mat. Financeira</t>
  </si>
  <si>
    <t>Fin. Coorporativas</t>
  </si>
  <si>
    <t>Redação</t>
  </si>
  <si>
    <t>Conhecimentos DF</t>
  </si>
  <si>
    <t>Economia</t>
  </si>
  <si>
    <t>Dir. Civil</t>
  </si>
  <si>
    <t>Dir. Penal</t>
  </si>
  <si>
    <t>Contabilidade Pública</t>
  </si>
  <si>
    <t>LODF</t>
  </si>
  <si>
    <t>Contabilidade Geral</t>
  </si>
  <si>
    <t>AFO</t>
  </si>
  <si>
    <t>Dir. Proc. Civil</t>
  </si>
  <si>
    <t> </t>
  </si>
  <si>
    <t>Auditoria Governamental</t>
  </si>
  <si>
    <t>Análise Dem. Cont</t>
  </si>
  <si>
    <t>Controle Externo</t>
  </si>
  <si>
    <t>Total de Horas</t>
  </si>
  <si>
    <t>Conhecimentos Básicos</t>
  </si>
  <si>
    <t>Horário</t>
  </si>
  <si>
    <t xml:space="preserve">Portugues </t>
  </si>
  <si>
    <t xml:space="preserve">Conhecimentos saude </t>
  </si>
  <si>
    <t>Informatica</t>
  </si>
  <si>
    <t>Resolucoes de questoes, do mapa mental, questao da 50 ate 34</t>
  </si>
  <si>
    <t>Resolucoes de questoes, material Gustavo, Questao da 01 ate 19</t>
  </si>
  <si>
    <t xml:space="preserve">15:41 ate </t>
  </si>
  <si>
    <t xml:space="preserve"> </t>
  </si>
  <si>
    <t>1. CONHECIMENTOS BÁSICOS</t>
  </si>
  <si>
    <t>Peso de Específicos</t>
  </si>
  <si>
    <t>4. Veja na célula A31 quanto 1 hora do seu dia representa do total de estudos da semana e faça as distribuições das matérias de acordo com os ensinamentos do curso.</t>
  </si>
  <si>
    <t>Total de horas disponiveis por semana</t>
  </si>
  <si>
    <t>LINGUA PORTUGUESA</t>
  </si>
  <si>
    <t>LINGUA INGLESA</t>
  </si>
  <si>
    <t>MATEMATICA</t>
  </si>
  <si>
    <t>ATUALIDADES DO MERCADO FINANCEIRO</t>
  </si>
  <si>
    <t>PROBABILIDADE E ESTATISTICA</t>
  </si>
  <si>
    <t>CONHECIMENTOS BANCARIOS</t>
  </si>
  <si>
    <t>TECNOLOGIA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</si>
</sst>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FF00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44444"/>
      <name val="Calibri"/>
      <family val="2"/>
    </font>
    <font>
      <b/>
      <sz val="12"/>
      <color rgb="FF000000"/>
      <name val="Times"/>
      <family val="1"/>
    </font>
    <font>
      <b/>
      <sz val="10"/>
      <color theme="1"/>
      <name val="Verdana"/>
      <family val="2"/>
    </font>
    <font>
      <sz val="12"/>
      <color rgb="FF000000"/>
      <name val="Calibri"/>
      <family val="2"/>
    </font>
    <font>
      <b/>
      <u/>
      <sz val="10"/>
      <color theme="1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sz val="12"/>
      <color rgb="FF000000"/>
      <name val="Times"/>
      <family val="1"/>
    </font>
    <font>
      <sz val="10"/>
      <color rgb="FF0000FF"/>
      <name val="Verdana"/>
      <family val="2"/>
    </font>
    <font>
      <sz val="10"/>
      <color rgb="FFFF0000"/>
      <name val="Verdana"/>
      <family val="2"/>
    </font>
    <font>
      <b/>
      <sz val="10"/>
      <color rgb="FF969696"/>
      <name val="Verdana"/>
      <family val="2"/>
    </font>
    <font>
      <b/>
      <sz val="10"/>
      <color rgb="FFFF0000"/>
      <name val="Verdana"/>
      <family val="2"/>
    </font>
    <font>
      <b/>
      <sz val="11"/>
      <color rgb="FF548135"/>
      <name val="Calibri (Corpo)"/>
    </font>
    <font>
      <b/>
      <sz val="11"/>
      <color rgb="FFFF0000"/>
      <name val="Calibri (Corpo)"/>
    </font>
    <font>
      <sz val="11"/>
      <color theme="1"/>
      <name val="Arial"/>
      <family val="2"/>
    </font>
    <font>
      <sz val="11"/>
      <color theme="1"/>
      <name val="Arial"/>
    </font>
    <font>
      <sz val="10"/>
      <color rgb="FF000000"/>
      <name val="Arial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444444"/>
      <name val="Calibri"/>
      <family val="2"/>
    </font>
    <font>
      <b/>
      <sz val="12"/>
      <color theme="1"/>
      <name val="Verdana"/>
      <family val="2"/>
    </font>
    <font>
      <sz val="12"/>
      <color theme="1"/>
      <name val="Calibri"/>
      <family val="2"/>
    </font>
    <font>
      <sz val="12"/>
      <color theme="1"/>
      <name val="Verdana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969696"/>
      <name val="Verdana"/>
      <family val="2"/>
    </font>
    <font>
      <b/>
      <sz val="12"/>
      <color rgb="FFFF0000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C5E0B3"/>
      </patternFill>
    </fill>
    <fill>
      <patternFill patternType="solid">
        <fgColor theme="8" tint="0.39997558519241921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7">
    <xf numFmtId="0" fontId="0" fillId="0" borderId="0"/>
    <xf numFmtId="0" fontId="4" fillId="0" borderId="14"/>
    <xf numFmtId="0" fontId="26" fillId="0" borderId="14"/>
    <xf numFmtId="0" fontId="25" fillId="0" borderId="14"/>
    <xf numFmtId="0" fontId="3" fillId="0" borderId="14"/>
    <xf numFmtId="0" fontId="24" fillId="0" borderId="14"/>
    <xf numFmtId="0" fontId="2" fillId="0" borderId="14"/>
    <xf numFmtId="0" fontId="2" fillId="0" borderId="14"/>
    <xf numFmtId="0" fontId="2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28" fillId="0" borderId="14"/>
    <xf numFmtId="0" fontId="24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  <xf numFmtId="0" fontId="1" fillId="0" borderId="14"/>
  </cellStyleXfs>
  <cellXfs count="146">
    <xf numFmtId="0" fontId="0" fillId="0" borderId="0" xfId="0"/>
    <xf numFmtId="0" fontId="7" fillId="2" borderId="4" xfId="0" applyFont="1" applyFill="1" applyBorder="1" applyAlignment="1">
      <alignment horizontal="center"/>
    </xf>
    <xf numFmtId="0" fontId="8" fillId="0" borderId="0" xfId="0" applyFont="1"/>
    <xf numFmtId="0" fontId="7" fillId="3" borderId="4" xfId="0" applyFont="1" applyFill="1" applyBorder="1"/>
    <xf numFmtId="0" fontId="7" fillId="3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11" xfId="0" applyFont="1" applyBorder="1"/>
    <xf numFmtId="0" fontId="11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7" fillId="0" borderId="0" xfId="0" applyFont="1"/>
    <xf numFmtId="0" fontId="7" fillId="8" borderId="11" xfId="0" applyFont="1" applyFill="1" applyBorder="1"/>
    <xf numFmtId="0" fontId="14" fillId="9" borderId="11" xfId="0" applyFont="1" applyFill="1" applyBorder="1" applyAlignment="1">
      <alignment horizontal="center" vertical="center"/>
    </xf>
    <xf numFmtId="0" fontId="7" fillId="10" borderId="11" xfId="0" applyFont="1" applyFill="1" applyBorder="1"/>
    <xf numFmtId="0" fontId="15" fillId="9" borderId="11" xfId="0" applyFont="1" applyFill="1" applyBorder="1" applyAlignment="1">
      <alignment horizontal="center"/>
    </xf>
    <xf numFmtId="0" fontId="7" fillId="11" borderId="12" xfId="0" applyFont="1" applyFill="1" applyBorder="1"/>
    <xf numFmtId="0" fontId="16" fillId="9" borderId="11" xfId="0" applyFont="1" applyFill="1" applyBorder="1"/>
    <xf numFmtId="0" fontId="16" fillId="11" borderId="11" xfId="0" applyFont="1" applyFill="1" applyBorder="1"/>
    <xf numFmtId="0" fontId="16" fillId="0" borderId="11" xfId="0" applyFont="1" applyBorder="1"/>
    <xf numFmtId="20" fontId="13" fillId="0" borderId="3" xfId="0" applyNumberFormat="1" applyFont="1" applyBorder="1" applyAlignment="1">
      <alignment horizontal="center"/>
    </xf>
    <xf numFmtId="0" fontId="7" fillId="9" borderId="11" xfId="0" applyFont="1" applyFill="1" applyBorder="1" applyAlignment="1">
      <alignment horizontal="center" vertical="center"/>
    </xf>
    <xf numFmtId="0" fontId="7" fillId="0" borderId="11" xfId="0" applyFont="1" applyBorder="1"/>
    <xf numFmtId="20" fontId="13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11" xfId="0" applyFont="1" applyBorder="1" applyAlignment="1">
      <alignment horizontal="center" vertical="center"/>
    </xf>
    <xf numFmtId="0" fontId="12" fillId="0" borderId="11" xfId="0" applyFont="1" applyBorder="1"/>
    <xf numFmtId="10" fontId="16" fillId="0" borderId="11" xfId="0" applyNumberFormat="1" applyFont="1" applyBorder="1" applyAlignment="1">
      <alignment horizontal="center" vertical="center"/>
    </xf>
    <xf numFmtId="10" fontId="17" fillId="0" borderId="11" xfId="0" applyNumberFormat="1" applyFont="1" applyBorder="1" applyAlignment="1">
      <alignment horizontal="center" vertical="center"/>
    </xf>
    <xf numFmtId="1" fontId="16" fillId="6" borderId="11" xfId="0" applyNumberFormat="1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18" fillId="9" borderId="11" xfId="0" applyFont="1" applyFill="1" applyBorder="1" applyAlignment="1">
      <alignment horizontal="center" vertical="center"/>
    </xf>
    <xf numFmtId="1" fontId="12" fillId="6" borderId="1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0" fontId="16" fillId="0" borderId="11" xfId="0" applyNumberFormat="1" applyFont="1" applyBorder="1" applyAlignment="1">
      <alignment horizontal="center"/>
    </xf>
    <xf numFmtId="1" fontId="12" fillId="6" borderId="11" xfId="0" applyNumberFormat="1" applyFont="1" applyFill="1" applyBorder="1" applyAlignment="1">
      <alignment horizontal="center"/>
    </xf>
    <xf numFmtId="9" fontId="16" fillId="0" borderId="11" xfId="0" applyNumberFormat="1" applyFont="1" applyBorder="1"/>
    <xf numFmtId="0" fontId="16" fillId="6" borderId="11" xfId="0" applyFont="1" applyFill="1" applyBorder="1"/>
    <xf numFmtId="10" fontId="16" fillId="6" borderId="11" xfId="0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10" fontId="11" fillId="0" borderId="11" xfId="0" applyNumberFormat="1" applyFont="1" applyBorder="1" applyAlignment="1">
      <alignment horizontal="center" vertical="center"/>
    </xf>
    <xf numFmtId="0" fontId="10" fillId="0" borderId="0" xfId="0" applyFont="1"/>
    <xf numFmtId="0" fontId="20" fillId="4" borderId="11" xfId="0" applyFont="1" applyFill="1" applyBorder="1" applyAlignment="1">
      <alignment horizontal="center"/>
    </xf>
    <xf numFmtId="9" fontId="16" fillId="0" borderId="11" xfId="0" applyNumberFormat="1" applyFont="1" applyBorder="1" applyAlignment="1">
      <alignment horizontal="center"/>
    </xf>
    <xf numFmtId="0" fontId="20" fillId="5" borderId="11" xfId="0" applyFont="1" applyFill="1" applyBorder="1" applyAlignment="1">
      <alignment horizontal="center"/>
    </xf>
    <xf numFmtId="0" fontId="21" fillId="4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10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1" fontId="12" fillId="5" borderId="11" xfId="0" applyNumberFormat="1" applyFont="1" applyFill="1" applyBorder="1" applyAlignment="1">
      <alignment horizontal="center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7" fillId="8" borderId="11" xfId="0" applyFont="1" applyFill="1" applyBorder="1" applyProtection="1">
      <protection locked="0"/>
    </xf>
    <xf numFmtId="0" fontId="7" fillId="12" borderId="11" xfId="0" applyFont="1" applyFill="1" applyBorder="1" applyProtection="1">
      <protection locked="0"/>
    </xf>
    <xf numFmtId="0" fontId="7" fillId="13" borderId="11" xfId="0" applyFont="1" applyFill="1" applyBorder="1" applyProtection="1">
      <protection locked="0"/>
    </xf>
    <xf numFmtId="0" fontId="24" fillId="0" borderId="0" xfId="0" applyFont="1"/>
    <xf numFmtId="0" fontId="7" fillId="0" borderId="14" xfId="0" applyFont="1" applyBorder="1" applyProtection="1">
      <protection locked="0"/>
    </xf>
    <xf numFmtId="0" fontId="7" fillId="0" borderId="0" xfId="0" applyFont="1" applyAlignment="1" applyProtection="1">
      <alignment wrapText="1"/>
      <protection locked="0"/>
    </xf>
    <xf numFmtId="10" fontId="17" fillId="0" borderId="11" xfId="0" applyNumberFormat="1" applyFont="1" applyBorder="1" applyAlignment="1">
      <alignment horizontal="center" vertical="center" wrapText="1"/>
    </xf>
    <xf numFmtId="10" fontId="11" fillId="0" borderId="11" xfId="0" applyNumberFormat="1" applyFont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9" borderId="11" xfId="0" applyFont="1" applyFill="1" applyBorder="1" applyAlignment="1" applyProtection="1">
      <alignment horizontal="center" vertical="center" wrapText="1"/>
      <protection locked="0"/>
    </xf>
    <xf numFmtId="0" fontId="31" fillId="16" borderId="11" xfId="0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11" xfId="0" applyFont="1" applyBorder="1" applyAlignment="1" applyProtection="1">
      <alignment horizontal="center" vertical="center" wrapText="1"/>
      <protection locked="0"/>
    </xf>
    <xf numFmtId="0" fontId="32" fillId="9" borderId="11" xfId="0" applyFont="1" applyFill="1" applyBorder="1" applyAlignment="1" applyProtection="1">
      <alignment horizontal="center" vertical="center" wrapText="1"/>
      <protection locked="0"/>
    </xf>
    <xf numFmtId="10" fontId="32" fillId="0" borderId="11" xfId="0" applyNumberFormat="1" applyFont="1" applyBorder="1" applyAlignment="1">
      <alignment horizontal="center" vertical="center" wrapText="1"/>
    </xf>
    <xf numFmtId="1" fontId="32" fillId="6" borderId="11" xfId="0" applyNumberFormat="1" applyFont="1" applyFill="1" applyBorder="1" applyAlignment="1" applyProtection="1">
      <alignment horizontal="center" vertical="center" wrapText="1"/>
      <protection locked="0"/>
    </xf>
    <xf numFmtId="1" fontId="30" fillId="6" borderId="11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0" fontId="32" fillId="9" borderId="11" xfId="0" applyFont="1" applyFill="1" applyBorder="1" applyAlignment="1">
      <alignment horizontal="center" vertical="center" wrapText="1"/>
    </xf>
    <xf numFmtId="10" fontId="30" fillId="0" borderId="11" xfId="0" applyNumberFormat="1" applyFont="1" applyBorder="1" applyAlignment="1">
      <alignment horizontal="center" vertical="center" wrapText="1"/>
    </xf>
    <xf numFmtId="0" fontId="30" fillId="0" borderId="16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7" fillId="14" borderId="15" xfId="1" applyFont="1" applyFill="1" applyBorder="1" applyAlignment="1">
      <alignment vertical="center" wrapText="1"/>
    </xf>
    <xf numFmtId="20" fontId="13" fillId="0" borderId="3" xfId="0" applyNumberFormat="1" applyFont="1" applyBorder="1" applyAlignment="1" applyProtection="1">
      <alignment horizontal="center" vertical="center" wrapText="1"/>
      <protection locked="0"/>
    </xf>
    <xf numFmtId="0" fontId="27" fillId="14" borderId="15" xfId="4" applyFont="1" applyFill="1" applyBorder="1" applyAlignment="1">
      <alignment vertical="center" wrapText="1"/>
    </xf>
    <xf numFmtId="0" fontId="31" fillId="8" borderId="11" xfId="0" applyFont="1" applyFill="1" applyBorder="1" applyAlignment="1" applyProtection="1">
      <alignment vertical="center" wrapText="1"/>
      <protection locked="0"/>
    </xf>
    <xf numFmtId="0" fontId="32" fillId="17" borderId="11" xfId="0" applyFont="1" applyFill="1" applyBorder="1" applyAlignment="1" applyProtection="1">
      <alignment vertical="center" wrapText="1"/>
      <protection locked="0"/>
    </xf>
    <xf numFmtId="0" fontId="29" fillId="14" borderId="11" xfId="0" applyFont="1" applyFill="1" applyBorder="1" applyAlignment="1" applyProtection="1">
      <alignment vertical="center" wrapText="1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20" fontId="13" fillId="0" borderId="0" xfId="0" applyNumberFormat="1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vertical="center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27" fillId="15" borderId="15" xfId="1" applyFont="1" applyFill="1" applyBorder="1" applyAlignment="1">
      <alignment vertical="center" wrapText="1"/>
    </xf>
    <xf numFmtId="0" fontId="34" fillId="15" borderId="15" xfId="1" applyFont="1" applyFill="1" applyBorder="1" applyAlignment="1">
      <alignment vertical="center" wrapText="1"/>
    </xf>
    <xf numFmtId="0" fontId="31" fillId="0" borderId="11" xfId="0" applyFont="1" applyBorder="1" applyAlignment="1" applyProtection="1">
      <alignment vertical="center" wrapText="1"/>
      <protection locked="0"/>
    </xf>
    <xf numFmtId="0" fontId="32" fillId="6" borderId="11" xfId="0" applyFont="1" applyFill="1" applyBorder="1" applyAlignment="1" applyProtection="1">
      <alignment vertical="center" wrapText="1"/>
      <protection locked="0"/>
    </xf>
    <xf numFmtId="0" fontId="29" fillId="0" borderId="0" xfId="0" applyFont="1" applyAlignment="1" applyProtection="1">
      <alignment vertical="center" wrapText="1"/>
      <protection locked="0"/>
    </xf>
    <xf numFmtId="10" fontId="32" fillId="6" borderId="1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1" xfId="0" applyFont="1" applyBorder="1" applyAlignment="1" applyProtection="1">
      <alignment horizontal="center" vertical="center" wrapText="1"/>
      <protection locked="0"/>
    </xf>
    <xf numFmtId="0" fontId="37" fillId="0" borderId="11" xfId="0" applyFont="1" applyBorder="1" applyAlignment="1">
      <alignment horizontal="center" vertical="center" wrapText="1"/>
    </xf>
    <xf numFmtId="9" fontId="30" fillId="0" borderId="11" xfId="0" applyNumberFormat="1" applyFont="1" applyBorder="1" applyAlignment="1" applyProtection="1">
      <alignment horizontal="center" vertical="center" wrapText="1"/>
      <protection locked="0"/>
    </xf>
    <xf numFmtId="0" fontId="36" fillId="4" borderId="11" xfId="0" applyFont="1" applyFill="1" applyBorder="1" applyAlignment="1" applyProtection="1">
      <alignment horizontal="center" vertical="center" wrapText="1"/>
      <protection locked="0"/>
    </xf>
    <xf numFmtId="0" fontId="37" fillId="4" borderId="11" xfId="0" applyFont="1" applyFill="1" applyBorder="1" applyAlignment="1">
      <alignment horizontal="center" vertical="center" wrapText="1"/>
    </xf>
    <xf numFmtId="9" fontId="32" fillId="0" borderId="11" xfId="0" applyNumberFormat="1" applyFont="1" applyBorder="1" applyAlignment="1">
      <alignment horizontal="center" vertical="center" wrapText="1"/>
    </xf>
    <xf numFmtId="0" fontId="36" fillId="5" borderId="11" xfId="0" applyFont="1" applyFill="1" applyBorder="1" applyAlignment="1" applyProtection="1">
      <alignment horizontal="center" vertical="center" wrapText="1"/>
      <protection locked="0"/>
    </xf>
    <xf numFmtId="1" fontId="30" fillId="5" borderId="11" xfId="0" applyNumberFormat="1" applyFont="1" applyFill="1" applyBorder="1" applyAlignment="1" applyProtection="1">
      <alignment horizontal="center" vertical="center" wrapText="1"/>
      <protection locked="0"/>
    </xf>
    <xf numFmtId="10" fontId="31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7" fillId="4" borderId="5" xfId="0" applyFont="1" applyFill="1" applyBorder="1" applyAlignment="1">
      <alignment horizontal="left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7" fillId="5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18" borderId="14" xfId="0" applyFont="1" applyFill="1" applyBorder="1" applyAlignment="1" applyProtection="1">
      <alignment horizontal="center" vertical="center"/>
      <protection locked="0"/>
    </xf>
    <xf numFmtId="0" fontId="0" fillId="18" borderId="14" xfId="0" applyFill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12" xfId="0" applyFont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vertical="center" wrapText="1"/>
      <protection locked="0"/>
    </xf>
    <xf numFmtId="0" fontId="33" fillId="0" borderId="3" xfId="0" applyFont="1" applyBorder="1" applyAlignment="1" applyProtection="1">
      <alignment vertical="center" wrapText="1"/>
      <protection locked="0"/>
    </xf>
    <xf numFmtId="0" fontId="35" fillId="7" borderId="13" xfId="0" applyFont="1" applyFill="1" applyBorder="1" applyAlignment="1" applyProtection="1">
      <alignment horizontal="center" vertical="center" wrapText="1"/>
      <protection locked="0"/>
    </xf>
    <xf numFmtId="0" fontId="33" fillId="0" borderId="14" xfId="0" applyFont="1" applyBorder="1" applyAlignment="1" applyProtection="1">
      <alignment vertical="center" wrapText="1"/>
      <protection locked="0"/>
    </xf>
    <xf numFmtId="10" fontId="35" fillId="7" borderId="13" xfId="0" applyNumberFormat="1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0" fontId="0" fillId="18" borderId="14" xfId="0" applyFill="1" applyBorder="1" applyAlignment="1" applyProtection="1">
      <alignment horizontal="center" vertical="center"/>
      <protection locked="0"/>
    </xf>
    <xf numFmtId="0" fontId="7" fillId="18" borderId="0" xfId="0" applyFont="1" applyFill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6" fillId="0" borderId="14" xfId="0" applyFont="1" applyBorder="1"/>
    <xf numFmtId="10" fontId="8" fillId="7" borderId="13" xfId="0" applyNumberFormat="1" applyFont="1" applyFill="1" applyBorder="1" applyAlignment="1">
      <alignment horizontal="center" vertical="center"/>
    </xf>
  </cellXfs>
  <cellStyles count="27">
    <cellStyle name="Normal" xfId="0" builtinId="0"/>
    <cellStyle name="Normal 2" xfId="1" xr:uid="{00000000-0005-0000-0000-000001000000}"/>
    <cellStyle name="Normal 2 2" xfId="4" xr:uid="{00000000-0005-0000-0000-000002000000}"/>
    <cellStyle name="Normal 2 2 2" xfId="8" xr:uid="{00000000-0005-0000-0000-000003000000}"/>
    <cellStyle name="Normal 2 2 2 2" xfId="23" xr:uid="{00000000-0005-0000-0000-000004000000}"/>
    <cellStyle name="Normal 2 2 2 3" xfId="16" xr:uid="{00000000-0005-0000-0000-000005000000}"/>
    <cellStyle name="Normal 2 2 3" xfId="13" xr:uid="{00000000-0005-0000-0000-000006000000}"/>
    <cellStyle name="Normal 2 2 3 2" xfId="25" xr:uid="{00000000-0005-0000-0000-000007000000}"/>
    <cellStyle name="Normal 2 2 4" xfId="20" xr:uid="{00000000-0005-0000-0000-000008000000}"/>
    <cellStyle name="Normal 2 2 5" xfId="11" xr:uid="{00000000-0005-0000-0000-000009000000}"/>
    <cellStyle name="Normal 2 3" xfId="7" xr:uid="{00000000-0005-0000-0000-00000A000000}"/>
    <cellStyle name="Normal 2 3 2" xfId="15" xr:uid="{00000000-0005-0000-0000-00000B000000}"/>
    <cellStyle name="Normal 2 3 2 2" xfId="26" xr:uid="{00000000-0005-0000-0000-00000C000000}"/>
    <cellStyle name="Normal 2 3 3" xfId="22" xr:uid="{00000000-0005-0000-0000-00000D000000}"/>
    <cellStyle name="Normal 2 3 4" xfId="10" xr:uid="{00000000-0005-0000-0000-00000E000000}"/>
    <cellStyle name="Normal 2 4" xfId="6" xr:uid="{00000000-0005-0000-0000-00000F000000}"/>
    <cellStyle name="Normal 2 4 2" xfId="21" xr:uid="{00000000-0005-0000-0000-000010000000}"/>
    <cellStyle name="Normal 2 4 3" xfId="14" xr:uid="{00000000-0005-0000-0000-000011000000}"/>
    <cellStyle name="Normal 2 5" xfId="12" xr:uid="{00000000-0005-0000-0000-000012000000}"/>
    <cellStyle name="Normal 2 5 2" xfId="24" xr:uid="{00000000-0005-0000-0000-000013000000}"/>
    <cellStyle name="Normal 2 6" xfId="19" xr:uid="{00000000-0005-0000-0000-000014000000}"/>
    <cellStyle name="Normal 2 7" xfId="9" xr:uid="{00000000-0005-0000-0000-000015000000}"/>
    <cellStyle name="Normal 3" xfId="3" xr:uid="{00000000-0005-0000-0000-000016000000}"/>
    <cellStyle name="Normal 3 2" xfId="18" xr:uid="{00000000-0005-0000-0000-000017000000}"/>
    <cellStyle name="Normal 4" xfId="5" xr:uid="{00000000-0005-0000-0000-000018000000}"/>
    <cellStyle name="Normal 5" xfId="2" xr:uid="{00000000-0005-0000-0000-000019000000}"/>
    <cellStyle name="Normal 5 2" xfId="17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zoomScale="125" workbookViewId="0">
      <selection activeCell="A18" sqref="A18:I19"/>
    </sheetView>
  </sheetViews>
  <sheetFormatPr defaultColWidth="12.625" defaultRowHeight="15" customHeight="1"/>
  <cols>
    <col min="1" max="1" width="9.5" customWidth="1"/>
    <col min="2" max="4" width="9.375" customWidth="1"/>
    <col min="5" max="5" width="11.375" customWidth="1"/>
    <col min="6" max="26" width="9.375" customWidth="1"/>
  </cols>
  <sheetData>
    <row r="1" spans="1:26" ht="18" customHeight="1">
      <c r="A1" s="124" t="s">
        <v>0</v>
      </c>
      <c r="B1" s="125"/>
      <c r="C1" s="125"/>
      <c r="D1" s="125"/>
      <c r="E1" s="1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24" t="s">
        <v>1</v>
      </c>
      <c r="B2" s="125"/>
      <c r="C2" s="125"/>
      <c r="D2" s="125"/>
      <c r="E2" s="12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24" t="s">
        <v>2</v>
      </c>
      <c r="B3" s="125"/>
      <c r="C3" s="125"/>
      <c r="D3" s="125"/>
      <c r="E3" s="126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24" t="s">
        <v>3</v>
      </c>
      <c r="B4" s="125"/>
      <c r="C4" s="125"/>
      <c r="D4" s="125"/>
      <c r="E4" s="126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24" t="s">
        <v>4</v>
      </c>
      <c r="B5" s="125"/>
      <c r="C5" s="125"/>
      <c r="D5" s="125"/>
      <c r="E5" s="126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3"/>
      <c r="B6" s="3"/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16" t="s">
        <v>5</v>
      </c>
      <c r="B7" s="117"/>
      <c r="C7" s="117"/>
      <c r="D7" s="117"/>
      <c r="E7" s="117"/>
      <c r="F7" s="117"/>
      <c r="G7" s="117"/>
      <c r="H7" s="117"/>
      <c r="I7" s="1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17"/>
      <c r="B8" s="117"/>
      <c r="C8" s="117"/>
      <c r="D8" s="117"/>
      <c r="E8" s="117"/>
      <c r="F8" s="117"/>
      <c r="G8" s="117"/>
      <c r="H8" s="117"/>
      <c r="I8" s="1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4"/>
      <c r="B9" s="4"/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18" t="s">
        <v>6</v>
      </c>
      <c r="B10" s="119"/>
      <c r="C10" s="119"/>
      <c r="D10" s="119"/>
      <c r="E10" s="119"/>
      <c r="F10" s="119"/>
      <c r="G10" s="119"/>
      <c r="H10" s="120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21"/>
      <c r="B11" s="122"/>
      <c r="C11" s="122"/>
      <c r="D11" s="122"/>
      <c r="E11" s="122"/>
      <c r="F11" s="122"/>
      <c r="G11" s="122"/>
      <c r="H11" s="123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6"/>
      <c r="B12" s="6"/>
      <c r="C12" s="6"/>
      <c r="D12" s="6"/>
      <c r="E12" s="6"/>
      <c r="F12" s="6"/>
      <c r="G12" s="6"/>
      <c r="H12" s="6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16" t="s">
        <v>7</v>
      </c>
      <c r="B13" s="117"/>
      <c r="C13" s="117"/>
      <c r="D13" s="117"/>
      <c r="E13" s="117"/>
      <c r="F13" s="117"/>
      <c r="G13" s="117"/>
      <c r="H13" s="117"/>
      <c r="I13" s="1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27" t="s">
        <v>8</v>
      </c>
      <c r="B14" s="119"/>
      <c r="C14" s="119"/>
      <c r="D14" s="119"/>
      <c r="E14" s="119"/>
      <c r="F14" s="119"/>
      <c r="G14" s="119"/>
      <c r="H14" s="119"/>
      <c r="I14" s="1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21"/>
      <c r="B15" s="122"/>
      <c r="C15" s="122"/>
      <c r="D15" s="122"/>
      <c r="E15" s="122"/>
      <c r="F15" s="122"/>
      <c r="G15" s="122"/>
      <c r="H15" s="122"/>
      <c r="I15" s="12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8" t="s">
        <v>9</v>
      </c>
      <c r="B16" s="8"/>
      <c r="C16" s="8"/>
      <c r="D16" s="8"/>
      <c r="E16" s="8"/>
      <c r="F16" s="8"/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7"/>
      <c r="B17" s="7"/>
      <c r="C17" s="7"/>
      <c r="D17" s="7"/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28" t="s">
        <v>71</v>
      </c>
      <c r="B18" s="119"/>
      <c r="C18" s="119"/>
      <c r="D18" s="119"/>
      <c r="E18" s="119"/>
      <c r="F18" s="119"/>
      <c r="G18" s="119"/>
      <c r="H18" s="119"/>
      <c r="I18" s="1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21"/>
      <c r="B19" s="122"/>
      <c r="C19" s="122"/>
      <c r="D19" s="122"/>
      <c r="E19" s="122"/>
      <c r="F19" s="122"/>
      <c r="G19" s="122"/>
      <c r="H19" s="122"/>
      <c r="I19" s="12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16" t="s">
        <v>10</v>
      </c>
      <c r="B20" s="117"/>
      <c r="C20" s="117"/>
      <c r="D20" s="117"/>
      <c r="E20" s="117"/>
      <c r="F20" s="117"/>
      <c r="G20" s="117"/>
      <c r="H20" s="117"/>
      <c r="I20" s="1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16" t="s">
        <v>11</v>
      </c>
      <c r="B22" s="117"/>
      <c r="C22" s="117"/>
      <c r="D22" s="117"/>
      <c r="E22" s="117"/>
      <c r="F22" s="117"/>
      <c r="G22" s="117"/>
      <c r="H22" s="117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17"/>
      <c r="B23" s="117"/>
      <c r="C23" s="117"/>
      <c r="D23" s="117"/>
      <c r="E23" s="117"/>
      <c r="F23" s="117"/>
      <c r="G23" s="117"/>
      <c r="H23" s="117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17"/>
      <c r="B24" s="117"/>
      <c r="C24" s="117"/>
      <c r="D24" s="117"/>
      <c r="E24" s="117"/>
      <c r="F24" s="117"/>
      <c r="G24" s="117"/>
      <c r="H24" s="117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17"/>
      <c r="B25" s="117"/>
      <c r="C25" s="117"/>
      <c r="D25" s="117"/>
      <c r="E25" s="117"/>
      <c r="F25" s="117"/>
      <c r="G25" s="117"/>
      <c r="H25" s="117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17"/>
      <c r="B26" s="117"/>
      <c r="C26" s="117"/>
      <c r="D26" s="117"/>
      <c r="E26" s="117"/>
      <c r="F26" s="117"/>
      <c r="G26" s="117"/>
      <c r="H26" s="117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7"/>
      <c r="B27" s="7"/>
      <c r="C27" s="7"/>
      <c r="D27" s="7"/>
      <c r="E27" s="7"/>
      <c r="F27" s="7"/>
      <c r="G27" s="7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9" t="s">
        <v>12</v>
      </c>
      <c r="B28" s="9"/>
      <c r="C28" s="9"/>
      <c r="D28" s="9"/>
      <c r="E28" s="9"/>
      <c r="F28" s="9"/>
      <c r="G28" s="9"/>
      <c r="H28" s="9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0:26" ht="18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0:26" ht="18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0:26" ht="18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0:26" ht="18" customHeight="1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0:26" ht="18" customHeight="1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0:26" ht="18" customHeight="1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0:26" ht="18" customHeight="1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0:26" ht="18" customHeight="1"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0:26" ht="18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0:26" ht="18" customHeight="1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0:26" ht="18" customHeight="1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0:26" ht="18" customHeight="1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0:26" ht="18" customHeight="1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0:26" ht="18" customHeight="1"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0:26" ht="18" customHeight="1"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0:26" ht="18" customHeight="1"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0:26" ht="18" customHeight="1"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0:26" ht="18" customHeight="1"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0:26" ht="18" customHeight="1"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0:26" ht="18" customHeight="1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0:26" ht="18" customHeight="1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0:26" ht="18" customHeight="1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0:26" ht="18" customHeight="1"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0:26" ht="18" customHeight="1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0:26" ht="18" customHeight="1"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0:26" ht="18" customHeight="1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0:26" ht="18" customHeight="1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0:26" ht="18" customHeight="1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0:26" ht="18" customHeight="1"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0:26" ht="18" customHeight="1"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0:26" ht="18" customHeight="1"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0:26" ht="18" customHeight="1"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0:26" ht="18" customHeight="1"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0:26" ht="18" customHeight="1"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0:26" ht="18" customHeight="1"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0:26" ht="18" customHeight="1"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0:26" ht="18" customHeight="1"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0:26" ht="18" customHeight="1"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0:26" ht="18" customHeight="1"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0:26" ht="18" customHeight="1"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0:26" ht="18" customHeight="1"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0:26" ht="18" customHeight="1"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0:26" ht="18" customHeight="1"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0:26" ht="18" customHeight="1"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0:26" ht="18" customHeight="1"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0:26" ht="18" customHeight="1"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0:26" ht="18" customHeight="1"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0:26" ht="18" customHeight="1"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0:26" ht="18" customHeight="1"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0:26" ht="18" customHeight="1"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0:26" ht="18" customHeight="1"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0:26" ht="18" customHeight="1"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0:26" ht="18" customHeight="1"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0:26" ht="18" customHeight="1"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0:26" ht="18" customHeight="1"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0:26" ht="18" customHeight="1"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0:26" ht="18" customHeight="1"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0:26" ht="18" customHeight="1"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0:26" ht="18" customHeight="1"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0:26" ht="18" customHeight="1"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0:26" ht="18" customHeight="1"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0:26" ht="18" customHeight="1"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0:26" ht="18" customHeight="1"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0:26" ht="18" customHeight="1"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0:26" ht="18" customHeight="1"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0:26" ht="18" customHeight="1"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0:26" ht="18" customHeight="1"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0:26" ht="18" customHeight="1"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0:26" ht="18" customHeight="1"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0:26" ht="18" customHeight="1"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0:26" ht="18" customHeight="1"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0:26" ht="18" customHeight="1"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0:26" ht="18" customHeight="1"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0:26" ht="18" customHeight="1"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0:26" ht="18" customHeight="1"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0:26" ht="18" customHeight="1"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0:26" ht="18" customHeight="1"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0:26" ht="18" customHeight="1"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0:26" ht="18" customHeight="1"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0:26" ht="18" customHeight="1"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0:26" ht="18" customHeight="1"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0:26" ht="18" customHeight="1"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0:26" ht="18" customHeight="1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0:26" ht="18" customHeight="1"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0:26" ht="18" customHeight="1"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0:26" ht="18" customHeight="1"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0:26" ht="18" customHeight="1"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0:26" ht="18" customHeight="1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0:26" ht="18" customHeight="1"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0:26" ht="18" customHeight="1"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0:26" ht="18" customHeight="1"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0:26" ht="18" customHeight="1"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0:26" ht="18" customHeight="1"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0:26" ht="18" customHeight="1"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0:26" ht="18" customHeight="1"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0:26" ht="18" customHeight="1"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0:26" ht="18" customHeight="1"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0:26" ht="18" customHeight="1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0:26" ht="18" customHeight="1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0:26" ht="18" customHeight="1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0:26" ht="18" customHeight="1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0:26" ht="18" customHeight="1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0:26" ht="18" customHeight="1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0:26" ht="18" customHeight="1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0:26" ht="18" customHeight="1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0:26" ht="18" customHeight="1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0:26" ht="18" customHeight="1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0:26" ht="18" customHeight="1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0:26" ht="18" customHeight="1"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0:26" ht="18" customHeight="1"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0:26" ht="18" customHeight="1"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0:26" ht="18" customHeight="1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0:26" ht="18" customHeight="1"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0:26" ht="18" customHeight="1"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0:26" ht="18" customHeight="1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0:26" ht="18" customHeight="1"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0:26" ht="18" customHeight="1"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0:26" ht="18" customHeight="1"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0:26" ht="18" customHeight="1"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0:26" ht="18" customHeight="1"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0:26" ht="18" customHeight="1"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0:26" ht="18" customHeight="1"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0:26" ht="18" customHeight="1"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0:26" ht="18" customHeight="1"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0:26" ht="18" customHeight="1"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0:26" ht="18" customHeight="1"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0:26" ht="18" customHeight="1"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0:26" ht="18" customHeight="1"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0:26" ht="18" customHeight="1"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0:26" ht="18" customHeight="1"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0:26" ht="18" customHeight="1"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0:26" ht="18" customHeight="1"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0:26" ht="18" customHeight="1"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0:26" ht="18" customHeight="1"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0:26" ht="18" customHeight="1"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0:26" ht="18" customHeight="1"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0:26" ht="18" customHeight="1"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0:26" ht="18" customHeight="1"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0:26" ht="18" customHeight="1"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0:26" ht="18" customHeight="1"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0:26" ht="18" customHeight="1"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0:26" ht="18" customHeight="1"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0:26" ht="18" customHeight="1"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0:26" ht="18" customHeight="1"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0:26" ht="18" customHeight="1"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0:26" ht="18" customHeight="1"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0:26" ht="18" customHeight="1"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0:26" ht="18" customHeight="1"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0:26" ht="18" customHeight="1"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0:26" ht="18" customHeight="1"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0:26" ht="18" customHeight="1"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0:26" ht="18" customHeight="1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0:26" ht="18" customHeight="1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0:26" ht="18" customHeight="1"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0:26" ht="18" customHeight="1"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0:26" ht="18" customHeight="1"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0:26" ht="18" customHeight="1"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0:26" ht="18" customHeight="1"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0:26" ht="18" customHeight="1"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0:26" ht="18" customHeight="1"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0:26" ht="18" customHeight="1"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0:26" ht="18" customHeight="1"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0:26" ht="18" customHeight="1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0:26" ht="18" customHeight="1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0:26" ht="18" customHeight="1"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0:26" ht="18" customHeight="1"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0:26" ht="18" customHeight="1"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0:26" ht="18" customHeight="1"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0:26" ht="18" customHeight="1"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0:26" ht="18" customHeight="1"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0:26" ht="18" customHeight="1"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0:26" ht="18" customHeight="1"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0:26" ht="18" customHeight="1"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0:26" ht="18" customHeight="1"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0:26" ht="18" customHeight="1"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0:26" ht="18" customHeight="1"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0:26" ht="18" customHeight="1"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0:26" ht="18" customHeight="1"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0:26" ht="18" customHeight="1"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0:26" ht="18" customHeight="1"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0:26" ht="18" customHeight="1"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0:26" ht="18" customHeight="1"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0:26" ht="18" customHeight="1"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0:26" ht="18" customHeight="1"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0:26" ht="18" customHeight="1"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0:26" ht="18" customHeight="1"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0:26" ht="18" customHeight="1"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0:26" ht="18" customHeight="1"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0:26" ht="18" customHeight="1"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0:26" ht="18" customHeight="1"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0:26" ht="18" customHeight="1"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0:26" ht="18" customHeight="1"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0:26" ht="18" customHeight="1"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0:26" ht="18" customHeight="1"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0:26" ht="18" customHeight="1"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0:26" ht="18" customHeight="1"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0:26" ht="18" customHeight="1"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0:26" ht="18" customHeight="1"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0:26" ht="18" customHeight="1"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0:26" ht="18" customHeight="1"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0:26" ht="18" customHeight="1"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0:26" ht="18" customHeight="1"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0:26" ht="18" customHeight="1"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0:26" ht="18" customHeight="1"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0:26" ht="18" customHeight="1"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0:26" ht="18" customHeight="1"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0:26" ht="18" customHeight="1"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0:26" ht="18" customHeight="1"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0:26" ht="18" customHeight="1"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0:26" ht="18" customHeight="1"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0:26" ht="18" customHeight="1"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0:26" ht="18" customHeight="1"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0:26" ht="18" customHeight="1"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0:26" ht="18" customHeight="1"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0:26" ht="18" customHeight="1"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0:26" ht="18" customHeight="1"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0:26" ht="18" customHeight="1"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0:26" ht="18" customHeight="1"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0:26" ht="18" customHeight="1"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0:26" ht="18" customHeight="1"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0:26" ht="18" customHeight="1"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0:26" ht="18" customHeight="1"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0:26" ht="18" customHeight="1"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0:26" ht="18" customHeight="1"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0:26" ht="18" customHeight="1"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0:26" ht="18" customHeight="1"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0:26" ht="18" customHeight="1"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0:26" ht="18" customHeight="1"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0:26" ht="18" customHeight="1"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0:26" ht="18" customHeight="1"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0:26" ht="18" customHeight="1"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0:26" ht="18" customHeight="1"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0:26" ht="18" customHeight="1"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0:26" ht="18" customHeight="1"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0:26" ht="18" customHeight="1"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0:26" ht="18" customHeight="1"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0:26" ht="18" customHeight="1"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0:26" ht="18" customHeight="1"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0:26" ht="18" customHeight="1"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0:26" ht="18" customHeight="1"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0:26" ht="18" customHeight="1"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0:26" ht="18" customHeight="1"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0:26" ht="18" customHeight="1"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0:26" ht="18" customHeight="1"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0:26" ht="18" customHeight="1"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0:26" ht="18" customHeight="1"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0:26" ht="18" customHeight="1"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0:26" ht="18" customHeight="1"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0:26" ht="18" customHeight="1"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0:26" ht="18" customHeight="1"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0:26" ht="18" customHeight="1"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0:26" ht="18" customHeight="1"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0:26" ht="18" customHeight="1"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0:26" ht="18" customHeight="1"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0:26" ht="18" customHeight="1"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0:26" ht="18" customHeight="1"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0:26" ht="18" customHeight="1"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0:26" ht="18" customHeight="1"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0:26" ht="18" customHeight="1"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0:26" ht="18" customHeight="1"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0:26" ht="18" customHeight="1"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0:26" ht="18" customHeight="1"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0:26" ht="18" customHeight="1"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0:26" ht="18" customHeight="1"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0:26" ht="18" customHeight="1"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0:26" ht="18" customHeight="1"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0:26" ht="18" customHeight="1"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0:26" ht="18" customHeight="1"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0:26" ht="18" customHeight="1"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0:26" ht="18" customHeight="1"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0:26" ht="18" customHeight="1"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0:26" ht="18" customHeight="1"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0:26" ht="18" customHeight="1"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0:26" ht="18" customHeight="1"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0:26" ht="18" customHeight="1"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0:26" ht="18" customHeight="1"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0:26" ht="18" customHeight="1"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0:26" ht="18" customHeight="1"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0:26" ht="18" customHeight="1"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0:26" ht="18" customHeight="1"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0:26" ht="18" customHeight="1"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0:26" ht="18" customHeight="1"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0:26" ht="18" customHeight="1"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0:26" ht="18" customHeight="1"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0:26" ht="18" customHeight="1"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0:26" ht="18" customHeight="1"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0:26" ht="18" customHeight="1"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0:26" ht="18" customHeight="1"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0:26" ht="18" customHeight="1"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0:26" ht="18" customHeight="1"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0:26" ht="18" customHeight="1"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0:26" ht="18" customHeight="1"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0:26" ht="18" customHeight="1"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0:26" ht="18" customHeight="1"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0:26" ht="18" customHeight="1"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0:26" ht="18" customHeight="1"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0:26" ht="18" customHeight="1"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0:26" ht="18" customHeight="1"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0:26" ht="18" customHeight="1"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0:26" ht="18" customHeight="1"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0:26" ht="18" customHeight="1"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0:26" ht="18" customHeight="1"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0:26" ht="18" customHeight="1"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0:26" ht="18" customHeight="1"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0:26" ht="18" customHeight="1"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0:26" ht="18" customHeight="1"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0:26" ht="18" customHeight="1"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0:26" ht="18" customHeight="1"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0:26" ht="18" customHeight="1"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0:26" ht="18" customHeight="1"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0:26" ht="18" customHeight="1"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0:26" ht="18" customHeight="1"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0:26" ht="18" customHeight="1"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0:26" ht="18" customHeight="1"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0:26" ht="18" customHeight="1"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0:26" ht="18" customHeight="1"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0:26" ht="18" customHeight="1"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0:26" ht="18" customHeight="1"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0:26" ht="18" customHeight="1"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0:26" ht="18" customHeight="1"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0:26" ht="18" customHeight="1"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0:26" ht="18" customHeight="1"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0:26" ht="18" customHeight="1"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0:26" ht="18" customHeight="1"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0:26" ht="18" customHeight="1"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0:26" ht="18" customHeight="1"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0:26" ht="18" customHeight="1"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0:26" ht="18" customHeight="1"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0:26" ht="18" customHeight="1"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0:26" ht="18" customHeight="1"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0:26" ht="18" customHeight="1"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0:26" ht="18" customHeight="1"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0:26" ht="18" customHeight="1"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0:26" ht="18" customHeight="1"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0:26" ht="18" customHeight="1"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0:26" ht="18" customHeight="1"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0:26" ht="18" customHeight="1"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0:26" ht="18" customHeight="1"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0:26" ht="18" customHeight="1"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0:26" ht="18" customHeight="1"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0:26" ht="18" customHeight="1"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0:26" ht="18" customHeight="1"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0:26" ht="18" customHeight="1"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0:26" ht="18" customHeight="1"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0:26" ht="18" customHeight="1"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0:26" ht="18" customHeight="1"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0:26" ht="18" customHeight="1"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0:26" ht="18" customHeight="1"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0:26" ht="18" customHeight="1"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0:26" ht="18" customHeight="1"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0:26" ht="18" customHeight="1"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0:26" ht="18" customHeight="1"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0:26" ht="18" customHeight="1"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0:26" ht="18" customHeight="1"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0:26" ht="18" customHeight="1"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0:26" ht="18" customHeight="1"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0:26" ht="18" customHeight="1"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0:26" ht="18" customHeight="1"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0:26" ht="18" customHeight="1"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0:26" ht="18" customHeight="1"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0:26" ht="18" customHeight="1"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0:26" ht="18" customHeight="1"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0:26" ht="18" customHeight="1"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0:26" ht="18" customHeight="1"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0:26" ht="18" customHeight="1"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0:26" ht="18" customHeight="1"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0:26" ht="18" customHeight="1"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0:26" ht="18" customHeight="1"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0:26" ht="18" customHeight="1"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0:26" ht="18" customHeight="1"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0:26" ht="18" customHeight="1"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0:26" ht="18" customHeight="1"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0:26" ht="18" customHeight="1"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0:26" ht="18" customHeight="1"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0:26" ht="18" customHeight="1"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0:26" ht="18" customHeight="1"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0:26" ht="18" customHeight="1"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0:26" ht="18" customHeight="1"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0:26" ht="18" customHeight="1"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0:26" ht="18" customHeight="1"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0:26" ht="18" customHeight="1"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0:26" ht="18" customHeight="1"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0:26" ht="18" customHeight="1"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0:26" ht="18" customHeight="1"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0:26" ht="18" customHeight="1"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0:26" ht="18" customHeight="1"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0:26" ht="18" customHeight="1"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0:26" ht="18" customHeight="1"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0:26" ht="18" customHeight="1"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0:26" ht="18" customHeight="1"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0:26" ht="18" customHeight="1"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0:26" ht="18" customHeight="1"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0:26" ht="18" customHeight="1"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0:26" ht="18" customHeight="1"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0:26" ht="18" customHeight="1"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0:26" ht="18" customHeight="1"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0:26" ht="18" customHeight="1"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0:26" ht="18" customHeight="1"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0:26" ht="18" customHeight="1"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0:26" ht="18" customHeight="1"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0:26" ht="18" customHeight="1"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0:26" ht="18" customHeight="1"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0:26" ht="18" customHeight="1"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0:26" ht="18" customHeight="1"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0:26" ht="18" customHeight="1"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0:26" ht="18" customHeight="1"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0:26" ht="18" customHeight="1"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0:26" ht="18" customHeight="1"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0:26" ht="18" customHeight="1"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0:26" ht="18" customHeight="1"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0:26" ht="18" customHeight="1"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0:26" ht="18" customHeight="1"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0:26" ht="18" customHeight="1"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0:26" ht="18" customHeight="1"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0:26" ht="18" customHeight="1"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0:26" ht="18" customHeight="1"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0:26" ht="18" customHeight="1"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0:26" ht="18" customHeight="1"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0:26" ht="18" customHeight="1"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0:26" ht="18" customHeight="1"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0:26" ht="18" customHeight="1"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0:26" ht="18" customHeight="1"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0:26" ht="18" customHeight="1"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0:26" ht="18" customHeight="1"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0:26" ht="18" customHeight="1"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0:26" ht="18" customHeight="1"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0:26" ht="18" customHeight="1"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0:26" ht="18" customHeight="1"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0:26" ht="18" customHeight="1"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0:26" ht="18" customHeight="1"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0:26" ht="18" customHeight="1"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0:26" ht="18" customHeight="1"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0:26" ht="18" customHeight="1"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0:26" ht="18" customHeight="1"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0:26" ht="18" customHeight="1"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0:26" ht="18" customHeight="1"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0:26" ht="18" customHeight="1"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0:26" ht="18" customHeight="1"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0:26" ht="18" customHeight="1"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0:26" ht="18" customHeight="1"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0:26" ht="18" customHeight="1"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0:26" ht="18" customHeight="1"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0:26" ht="18" customHeight="1"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0:26" ht="18" customHeight="1"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0:26" ht="18" customHeight="1"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0:26" ht="18" customHeight="1"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0:26" ht="18" customHeight="1"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0:26" ht="18" customHeight="1"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0:26" ht="18" customHeight="1"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0:26" ht="18" customHeight="1"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0:26" ht="18" customHeight="1"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0:26" ht="18" customHeight="1"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0:26" ht="18" customHeight="1"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0:26" ht="18" customHeight="1"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0:26" ht="18" customHeight="1"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0:26" ht="18" customHeight="1"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0:26" ht="18" customHeight="1"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0:26" ht="18" customHeight="1"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0:26" ht="18" customHeight="1"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0:26" ht="18" customHeight="1"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0:26" ht="18" customHeight="1"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0:26" ht="18" customHeight="1"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0:26" ht="18" customHeight="1"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0:26" ht="18" customHeight="1"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0:26" ht="18" customHeight="1"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0:26" ht="18" customHeight="1"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0:26" ht="18" customHeight="1"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0:26" ht="18" customHeight="1"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0:26" ht="18" customHeight="1"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0:26" ht="18" customHeight="1"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0:26" ht="18" customHeight="1"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0:26" ht="18" customHeight="1"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0:26" ht="18" customHeight="1"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0:26" ht="18" customHeight="1"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0:26" ht="18" customHeight="1"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0:26" ht="18" customHeight="1"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0:26" ht="18" customHeight="1"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0:26" ht="18" customHeight="1"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0:26" ht="18" customHeight="1"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0:26" ht="18" customHeight="1"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0:26" ht="18" customHeight="1"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0:26" ht="18" customHeight="1"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0:26" ht="18" customHeight="1"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0:26" ht="18" customHeight="1"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0:26" ht="18" customHeight="1"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0:26" ht="18" customHeight="1"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0:26" ht="18" customHeight="1"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0:26" ht="18" customHeight="1"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0:26" ht="18" customHeight="1"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0:26" ht="18" customHeight="1"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0:26" ht="18" customHeight="1"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0:26" ht="18" customHeight="1"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0:26" ht="18" customHeight="1"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0:26" ht="18" customHeight="1"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0:26" ht="18" customHeight="1"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0:26" ht="18" customHeight="1"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0:26" ht="18" customHeight="1"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0:26" ht="18" customHeight="1"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0:26" ht="18" customHeight="1"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0:26" ht="18" customHeight="1"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0:26" ht="18" customHeight="1"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0:26" ht="18" customHeight="1"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0:26" ht="18" customHeight="1"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0:26" ht="18" customHeight="1"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0:26" ht="18" customHeight="1"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0:26" ht="18" customHeight="1"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0:26" ht="18" customHeight="1"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0:26" ht="18" customHeight="1"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0:26" ht="18" customHeight="1"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0:26" ht="18" customHeight="1"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0:26" ht="18" customHeight="1"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0:26" ht="18" customHeight="1"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0:26" ht="18" customHeight="1"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0:26" ht="18" customHeight="1"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0:26" ht="18" customHeight="1"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0:26" ht="18" customHeight="1"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0:26" ht="18" customHeight="1"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0:26" ht="18" customHeight="1"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0:26" ht="18" customHeight="1"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0:26" ht="18" customHeight="1"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0:26" ht="18" customHeight="1"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0:26" ht="18" customHeight="1"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0:26" ht="18" customHeight="1"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0:26" ht="18" customHeight="1"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0:26" ht="18" customHeight="1"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0:26" ht="18" customHeight="1"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0:26" ht="18" customHeight="1"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0:26" ht="18" customHeight="1"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0:26" ht="18" customHeight="1"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0:26" ht="18" customHeight="1"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0:26" ht="18" customHeight="1"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0:26" ht="18" customHeight="1"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0:26" ht="18" customHeight="1"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0:26" ht="18" customHeight="1"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0:26" ht="18" customHeight="1"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0:26" ht="18" customHeight="1"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0:26" ht="18" customHeight="1"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0:26" ht="18" customHeight="1"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0:26" ht="18" customHeight="1"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0:26" ht="18" customHeight="1"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0:26" ht="18" customHeight="1"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0:26" ht="18" customHeight="1"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0:26" ht="18" customHeight="1"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0:26" ht="18" customHeight="1"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0:26" ht="18" customHeight="1"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0:26" ht="18" customHeight="1"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0:26" ht="18" customHeight="1"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0:26" ht="18" customHeight="1"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0:26" ht="18" customHeight="1"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0:26" ht="18" customHeight="1"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0:26" ht="18" customHeight="1"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0:26" ht="18" customHeight="1"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0:26" ht="18" customHeight="1"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0:26" ht="18" customHeight="1"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0:26" ht="18" customHeight="1"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0:26" ht="18" customHeight="1"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0:26" ht="18" customHeight="1"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0:26" ht="18" customHeight="1"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0:26" ht="18" customHeight="1"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0:26" ht="18" customHeight="1"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0:26" ht="18" customHeight="1"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0:26" ht="18" customHeight="1"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0:26" ht="18" customHeight="1"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0:26" ht="18" customHeight="1"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0:26" ht="18" customHeight="1"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0:26" ht="18" customHeight="1"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0:26" ht="18" customHeight="1"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0:26" ht="18" customHeight="1"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0:26" ht="18" customHeight="1"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0:26" ht="18" customHeight="1"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0:26" ht="18" customHeight="1"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0:26" ht="18" customHeight="1"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0:26" ht="18" customHeight="1"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0:26" ht="18" customHeight="1"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0:26" ht="18" customHeight="1"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0:26" ht="18" customHeight="1"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0:26" ht="18" customHeight="1"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0:26" ht="18" customHeight="1"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0:26" ht="18" customHeight="1"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0:26" ht="18" customHeight="1"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0:26" ht="18" customHeight="1"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0:26" ht="18" customHeight="1"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0:26" ht="18" customHeight="1"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0:26" ht="18" customHeight="1"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0:26" ht="18" customHeight="1"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0:26" ht="18" customHeight="1"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0:26" ht="18" customHeight="1"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0:26" ht="18" customHeight="1"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0:26" ht="18" customHeight="1"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0:26" ht="18" customHeight="1"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0:26" ht="18" customHeight="1"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0:26" ht="18" customHeight="1"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0:26" ht="18" customHeight="1"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0:26" ht="18" customHeight="1"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0:26" ht="18" customHeight="1"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0:26" ht="18" customHeight="1"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0:26" ht="18" customHeight="1"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0:26" ht="18" customHeight="1"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0:26" ht="18" customHeight="1"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0:26" ht="18" customHeight="1"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0:26" ht="18" customHeight="1"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0:26" ht="18" customHeight="1"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0:26" ht="18" customHeight="1"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0:26" ht="18" customHeight="1"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0:26" ht="18" customHeight="1"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0:26" ht="18" customHeight="1"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0:26" ht="18" customHeight="1"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0:26" ht="18" customHeight="1"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0:26" ht="18" customHeight="1"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0:26" ht="18" customHeight="1"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0:26" ht="18" customHeight="1"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0:26" ht="18" customHeight="1"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0:26" ht="18" customHeight="1"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0:26" ht="18" customHeight="1"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0:26" ht="18" customHeight="1"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0:26" ht="18" customHeight="1"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0:26" ht="18" customHeight="1"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0:26" ht="18" customHeight="1"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0:26" ht="18" customHeight="1"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0:26" ht="18" customHeight="1"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0:26" ht="18" customHeight="1"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0:26" ht="18" customHeight="1"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0:26" ht="18" customHeight="1"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0:26" ht="18" customHeight="1"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0:26" ht="18" customHeight="1"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0:26" ht="18" customHeight="1"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0:26" ht="18" customHeight="1"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0:26" ht="18" customHeight="1"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0:26" ht="18" customHeight="1"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0:26" ht="18" customHeight="1"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0:26" ht="18" customHeight="1"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0:26" ht="18" customHeight="1"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0:26" ht="18" customHeight="1"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0:26" ht="18" customHeight="1"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0:26" ht="18" customHeight="1"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0:26" ht="18" customHeight="1"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0:26" ht="18" customHeight="1"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0:26" ht="18" customHeight="1"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0:26" ht="18" customHeight="1"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0:26" ht="18" customHeight="1"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0:26" ht="18" customHeight="1"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0:26" ht="18" customHeight="1"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0:26" ht="18" customHeight="1"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0:26" ht="18" customHeight="1"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0:26" ht="18" customHeight="1"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0:26" ht="18" customHeight="1"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0:26" ht="18" customHeight="1"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0:26" ht="18" customHeight="1"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0:26" ht="18" customHeight="1"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0:26" ht="18" customHeight="1"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0:26" ht="18" customHeight="1"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0:26" ht="18" customHeight="1"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0:26" ht="18" customHeight="1"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0:26" ht="18" customHeight="1"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0:26" ht="18" customHeight="1"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0:26" ht="18" customHeight="1"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0:26" ht="18" customHeight="1"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0:26" ht="18" customHeight="1"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0:26" ht="18" customHeight="1"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0:26" ht="18" customHeight="1"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0:26" ht="18" customHeight="1"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0:26" ht="18" customHeight="1"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0:26" ht="18" customHeight="1"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0:26" ht="18" customHeight="1"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0:26" ht="18" customHeight="1"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0:26" ht="18" customHeight="1"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0:26" ht="18" customHeight="1"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0:26" ht="18" customHeight="1"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0:26" ht="18" customHeight="1"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0:26" ht="18" customHeight="1"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0:26" ht="18" customHeight="1"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0:26" ht="18" customHeight="1"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0:26" ht="18" customHeight="1"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0:26" ht="18" customHeight="1"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0:26" ht="18" customHeight="1"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0:26" ht="18" customHeight="1"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0:26" ht="18" customHeight="1"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0:26" ht="18" customHeight="1"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0:26" ht="18" customHeight="1"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0:26" ht="18" customHeight="1"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0:26" ht="18" customHeight="1"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0:26" ht="18" customHeight="1"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0:26" ht="18" customHeight="1"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0:26" ht="18" customHeight="1"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0:26" ht="18" customHeight="1"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0:26" ht="18" customHeight="1"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0:26" ht="18" customHeight="1"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0:26" ht="18" customHeight="1"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0:26" ht="18" customHeight="1"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0:26" ht="18" customHeight="1"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0:26" ht="18" customHeight="1"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0:26" ht="18" customHeight="1"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0:26" ht="18" customHeight="1"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0:26" ht="18" customHeight="1"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0:26" ht="18" customHeight="1"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0:26" ht="18" customHeight="1"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0:26" ht="18" customHeight="1"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0:26" ht="18" customHeight="1"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0:26" ht="18" customHeight="1"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0:26" ht="18" customHeight="1"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0:26" ht="18" customHeight="1"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0:26" ht="18" customHeight="1"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0:26" ht="18" customHeight="1"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0:26" ht="18" customHeight="1"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0:26" ht="18" customHeight="1"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0:26" ht="18" customHeight="1"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0:26" ht="18" customHeight="1"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0:26" ht="18" customHeight="1"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0:26" ht="18" customHeight="1"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0:26" ht="18" customHeight="1"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0:26" ht="18" customHeight="1"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0:26" ht="18" customHeight="1"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0:26" ht="18" customHeight="1"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0:26" ht="18" customHeight="1"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0:26" ht="18" customHeight="1"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0:26" ht="18" customHeight="1"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0:26" ht="18" customHeight="1"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0:26" ht="18" customHeight="1"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0:26" ht="18" customHeight="1"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0:26" ht="18" customHeight="1"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0:26" ht="18" customHeight="1"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0:26" ht="18" customHeight="1"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0:26" ht="18" customHeight="1"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0:26" ht="18" customHeight="1"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0:26" ht="18" customHeight="1"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0:26" ht="18" customHeight="1"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0:26" ht="18" customHeight="1"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0:26" ht="18" customHeight="1"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0:26" ht="18" customHeight="1"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0:26" ht="18" customHeight="1"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0:26" ht="18" customHeight="1"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0:26" ht="18" customHeight="1"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0:26" ht="18" customHeight="1"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0:26" ht="18" customHeight="1"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0:26" ht="18" customHeight="1"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0:26" ht="18" customHeight="1"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0:26" ht="18" customHeight="1"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0:26" ht="18" customHeight="1"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0:26" ht="18" customHeight="1"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0:26" ht="18" customHeight="1"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0:26" ht="18" customHeight="1"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0:26" ht="18" customHeight="1"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0:26" ht="18" customHeight="1"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0:26" ht="18" customHeight="1"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0:26" ht="18" customHeight="1"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0:26" ht="18" customHeight="1"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0:26" ht="18" customHeight="1"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0:26" ht="18" customHeight="1"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0:26" ht="18" customHeight="1"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0:26" ht="18" customHeight="1"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0:26" ht="18" customHeight="1"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0:26" ht="18" customHeight="1"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0:26" ht="18" customHeight="1"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0:26" ht="18" customHeight="1"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0:26" ht="18" customHeight="1"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0:26" ht="18" customHeight="1"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0:26" ht="18" customHeight="1"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0:26" ht="18" customHeight="1"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0:26" ht="18" customHeight="1"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0:26" ht="18" customHeight="1"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0:26" ht="18" customHeight="1"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0:26" ht="18" customHeight="1"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0:26" ht="18" customHeight="1"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0:26" ht="18" customHeight="1"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0:26" ht="18" customHeight="1"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0:26" ht="18" customHeight="1"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0:26" ht="18" customHeight="1"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0:26" ht="18" customHeight="1"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0:26" ht="18" customHeight="1"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0:26" ht="18" customHeight="1"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0:26" ht="18" customHeight="1"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0:26" ht="18" customHeight="1"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0:26" ht="18" customHeight="1"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0:26" ht="18" customHeight="1"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0:26" ht="18" customHeight="1"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0:26" ht="18" customHeight="1"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0:26" ht="18" customHeight="1"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0:26" ht="18" customHeight="1"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0:26" ht="18" customHeight="1"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0:26" ht="18" customHeight="1"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0:26" ht="18" customHeight="1"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0:26" ht="18" customHeight="1"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0:26" ht="18" customHeight="1"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0:26" ht="18" customHeight="1"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0:26" ht="18" customHeight="1"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0:26" ht="18" customHeight="1"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0:26" ht="18" customHeight="1"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0:26" ht="18" customHeight="1"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0:26" ht="18" customHeight="1"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0:26" ht="18" customHeight="1"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0:26" ht="18" customHeight="1"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0:26" ht="18" customHeight="1"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0:26" ht="18" customHeight="1"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0:26" ht="18" customHeight="1"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0:26" ht="18" customHeight="1"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0:26" ht="18" customHeight="1"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0:26" ht="18" customHeight="1"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0:26" ht="18" customHeight="1"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0:26" ht="18" customHeight="1"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0:26" ht="18" customHeight="1"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0:26" ht="18" customHeight="1"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0:26" ht="18" customHeight="1"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0:26" ht="18" customHeight="1"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0:26" ht="18" customHeight="1"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0:26" ht="18" customHeight="1"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0:26" ht="18" customHeight="1"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0:26" ht="18" customHeight="1"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0:26" ht="18" customHeight="1"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0:26" ht="18" customHeight="1"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0:26" ht="18" customHeight="1"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0:26" ht="18" customHeight="1"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0:26" ht="18" customHeight="1"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0:26" ht="18" customHeight="1"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0:26" ht="18" customHeight="1"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0:26" ht="18" customHeight="1"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0:26" ht="18" customHeight="1"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0:26" ht="18" customHeight="1"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0:26" ht="18" customHeight="1"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0:26" ht="18" customHeight="1"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0:26" ht="18" customHeight="1"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0:26" ht="18" customHeight="1"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0:26" ht="18" customHeight="1"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0:26" ht="18" customHeight="1"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0:26" ht="18" customHeight="1"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0:26" ht="18" customHeight="1"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0:26" ht="18" customHeight="1"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0:26" ht="18" customHeight="1"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0:26" ht="18" customHeight="1"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0:26" ht="18" customHeight="1"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0:26" ht="18" customHeight="1"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0:26" ht="18" customHeight="1"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0:26" ht="18" customHeight="1"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0:26" ht="18" customHeight="1"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0:26" ht="18" customHeight="1"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0:26" ht="18" customHeight="1"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0:26" ht="18" customHeight="1"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0:26" ht="18" customHeight="1"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0:26" ht="18" customHeight="1"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0:26" ht="18" customHeight="1"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0:26" ht="18" customHeight="1"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0:26" ht="18" customHeight="1"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0:26" ht="18" customHeight="1"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0:26" ht="18" customHeight="1"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0:26" ht="18" customHeight="1"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0:26" ht="18" customHeight="1"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0:26" ht="18" customHeight="1"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0:26" ht="18" customHeight="1"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0:26" ht="18" customHeight="1"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0:26" ht="18" customHeight="1"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0:26" ht="18" customHeight="1"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0:26" ht="18" customHeight="1"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0:26" ht="18" customHeight="1"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0:26" ht="18" customHeight="1"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0:26" ht="18" customHeight="1"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0:26" ht="18" customHeight="1"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0:26" ht="18" customHeight="1"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0:26" ht="18" customHeight="1"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0:26" ht="18" customHeight="1"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0:26" ht="18" customHeight="1"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0:26" ht="18" customHeight="1"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0:26" ht="18" customHeight="1"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0:26" ht="18" customHeight="1"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0:26" ht="18" customHeight="1"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0:26" ht="18" customHeight="1"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0:26" ht="18" customHeight="1"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0:26" ht="18" customHeight="1"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0:26" ht="18" customHeight="1"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0:26" ht="18" customHeight="1"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0:26" ht="18" customHeight="1"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0:26" ht="18" customHeight="1"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0:26" ht="18" customHeight="1"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0:26" ht="18" customHeight="1"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0:26" ht="18" customHeight="1"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0:26" ht="18" customHeight="1"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0:26" ht="18" customHeight="1"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0:26" ht="18" customHeight="1"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0:26" ht="18" customHeight="1"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0:26" ht="18" customHeight="1"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0:26" ht="18" customHeight="1"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0:26" ht="18" customHeight="1"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0:26" ht="18" customHeight="1"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0:26" ht="18" customHeight="1"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0:26" ht="18" customHeight="1"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0:26" ht="18" customHeight="1"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0:26" ht="18" customHeight="1"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0:26" ht="18" customHeight="1"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0:26" ht="18" customHeight="1"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0:26" ht="18" customHeight="1"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0:26" ht="18" customHeight="1"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0:26" ht="18" customHeight="1"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0:26" ht="18" customHeight="1"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0:26" ht="18" customHeight="1"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0:26" ht="18" customHeight="1"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0:26" ht="18" customHeight="1"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0:26" ht="18" customHeight="1"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0:26" ht="18" customHeight="1"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0:26" ht="18" customHeight="1"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0:26" ht="18" customHeight="1"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0:26" ht="18" customHeight="1"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0:26" ht="18" customHeight="1"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0:26" ht="18" customHeight="1"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0:26" ht="18" customHeight="1"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0:26" ht="18" customHeight="1"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0:26" ht="18" customHeight="1"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0:26" ht="18" customHeight="1"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0:26" ht="18" customHeight="1"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0:26" ht="18" customHeight="1"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0:26" ht="18" customHeight="1"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0:26" ht="18" customHeight="1"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0:26" ht="18" customHeight="1"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0:26" ht="18" customHeight="1"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0:26" ht="18" customHeight="1"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0:26" ht="18" customHeight="1"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0:26" ht="18" customHeight="1"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0:26" ht="18" customHeight="1"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0:26" ht="18" customHeight="1"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0:26" ht="18" customHeight="1"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0:26" ht="18" customHeight="1"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0:26" ht="18" customHeight="1"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0:26" ht="18" customHeight="1"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0:26" ht="18" customHeight="1"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0:26" ht="18" customHeight="1"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0:26" ht="18" customHeight="1"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0:26" ht="18" customHeight="1"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0:26" ht="18" customHeight="1"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0:26" ht="18" customHeight="1"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0:26" ht="18" customHeight="1"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0:26" ht="18" customHeight="1"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0:26" ht="18" customHeight="1"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0:26" ht="18" customHeight="1"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0:26" ht="18" customHeight="1"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0:26" ht="18" customHeight="1"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0:26" ht="18" customHeight="1"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0:26" ht="18" customHeight="1"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0:26" ht="18" customHeight="1"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0:26" ht="18" customHeight="1"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0:26" ht="18" customHeight="1"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0:26" ht="18" customHeight="1"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0:26" ht="18" customHeight="1"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0:26" ht="18" customHeight="1"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0:26" ht="18" customHeight="1"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0:26" ht="18" customHeight="1"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0:26" ht="18" customHeight="1"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0:26" ht="18" customHeight="1"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0:26" ht="18" customHeight="1"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0:26" ht="18" customHeight="1"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0:26" ht="18" customHeight="1"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0:26" ht="18" customHeight="1"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0:26" ht="18" customHeight="1"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0:26" ht="18" customHeight="1"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0:26" ht="18" customHeight="1"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0:26" ht="18" customHeight="1"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0:26" ht="18" customHeight="1"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0:26" ht="18" customHeight="1"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0:26" ht="18" customHeight="1"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0:26" ht="18" customHeight="1"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0:26" ht="18" customHeight="1"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0:26" ht="18" customHeight="1"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0:26" ht="18" customHeight="1"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0:26" ht="18" customHeight="1"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0:26" ht="18" customHeight="1"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0:26" ht="18" customHeight="1"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0:26" ht="18" customHeight="1"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0:26" ht="18" customHeight="1"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0:26" ht="18" customHeight="1"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0:26" ht="18" customHeight="1"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0:26" ht="18" customHeight="1"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0:26" ht="18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3:I13"/>
    <mergeCell ref="A14:I15"/>
    <mergeCell ref="A18:I19"/>
    <mergeCell ref="A20:I21"/>
    <mergeCell ref="A22:H26"/>
    <mergeCell ref="A7:I8"/>
    <mergeCell ref="A10:H11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4"/>
  <sheetViews>
    <sheetView tabSelected="1" zoomScale="55" zoomScaleNormal="55" workbookViewId="0">
      <selection activeCell="K5" sqref="K5"/>
    </sheetView>
  </sheetViews>
  <sheetFormatPr defaultColWidth="9" defaultRowHeight="15" customHeight="1"/>
  <cols>
    <col min="1" max="1" width="2.875" style="63" customWidth="1"/>
    <col min="2" max="2" width="35.75" style="72" customWidth="1"/>
    <col min="3" max="3" width="10.625" style="72" customWidth="1"/>
    <col min="4" max="13" width="28.625" style="72" customWidth="1"/>
    <col min="14" max="14" width="2.5" style="63" customWidth="1"/>
    <col min="15" max="27" width="7.625" style="63" customWidth="1"/>
    <col min="28" max="16384" width="9" style="63"/>
  </cols>
  <sheetData>
    <row r="1" spans="1:28" ht="15" customHeight="1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28" s="90" customFormat="1" ht="15.75">
      <c r="A2" s="140"/>
      <c r="B2" s="86" t="s">
        <v>69</v>
      </c>
      <c r="C2" s="87" t="s">
        <v>61</v>
      </c>
      <c r="D2" s="73" t="s">
        <v>15</v>
      </c>
      <c r="E2" s="73" t="s">
        <v>16</v>
      </c>
      <c r="F2" s="73" t="s">
        <v>17</v>
      </c>
      <c r="G2" s="73" t="s">
        <v>18</v>
      </c>
      <c r="H2" s="73" t="s">
        <v>19</v>
      </c>
      <c r="I2" s="73" t="s">
        <v>20</v>
      </c>
      <c r="J2" s="73" t="s">
        <v>21</v>
      </c>
      <c r="K2" s="88"/>
      <c r="L2" s="88"/>
      <c r="M2" s="88"/>
      <c r="N2" s="12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spans="1:28" s="90" customFormat="1" ht="31.5" customHeight="1">
      <c r="A3" s="140"/>
      <c r="B3" s="91" t="s">
        <v>73</v>
      </c>
      <c r="C3" s="92"/>
      <c r="D3" s="101" t="s">
        <v>79</v>
      </c>
      <c r="E3" s="91" t="s">
        <v>73</v>
      </c>
      <c r="F3" s="91" t="s">
        <v>76</v>
      </c>
      <c r="G3" s="91" t="s">
        <v>73</v>
      </c>
      <c r="H3" s="101" t="s">
        <v>78</v>
      </c>
      <c r="I3" s="91" t="s">
        <v>73</v>
      </c>
      <c r="J3" s="91" t="s">
        <v>74</v>
      </c>
      <c r="K3" s="88"/>
      <c r="L3" s="88"/>
      <c r="M3" s="88"/>
      <c r="N3" s="12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spans="1:28" s="90" customFormat="1" ht="31.5" customHeight="1">
      <c r="A4" s="140"/>
      <c r="B4" s="91" t="s">
        <v>74</v>
      </c>
      <c r="C4" s="92"/>
      <c r="D4" s="91" t="s">
        <v>75</v>
      </c>
      <c r="E4" s="101" t="s">
        <v>79</v>
      </c>
      <c r="F4" s="101" t="s">
        <v>79</v>
      </c>
      <c r="G4" s="101" t="s">
        <v>79</v>
      </c>
      <c r="H4" s="91" t="s">
        <v>75</v>
      </c>
      <c r="I4" s="101" t="s">
        <v>78</v>
      </c>
      <c r="J4" s="91" t="s">
        <v>73</v>
      </c>
      <c r="K4" s="88"/>
      <c r="L4" s="88"/>
      <c r="M4" s="88"/>
      <c r="N4" s="12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</row>
    <row r="5" spans="1:28" s="90" customFormat="1" ht="31.5" customHeight="1">
      <c r="A5" s="140"/>
      <c r="B5" s="91" t="s">
        <v>75</v>
      </c>
      <c r="C5" s="92"/>
      <c r="D5" s="101" t="s">
        <v>79</v>
      </c>
      <c r="E5" s="101" t="s">
        <v>79</v>
      </c>
      <c r="F5" s="101" t="s">
        <v>79</v>
      </c>
      <c r="G5" s="101" t="s">
        <v>79</v>
      </c>
      <c r="H5" s="101" t="s">
        <v>79</v>
      </c>
      <c r="I5" s="101" t="s">
        <v>77</v>
      </c>
      <c r="J5" s="101" t="s">
        <v>77</v>
      </c>
      <c r="K5" s="88"/>
      <c r="L5" s="88"/>
      <c r="M5" s="88"/>
      <c r="N5" s="12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</row>
    <row r="6" spans="1:28" s="90" customFormat="1" ht="31.5" customHeight="1">
      <c r="A6" s="140"/>
      <c r="B6" s="91" t="s">
        <v>76</v>
      </c>
      <c r="C6" s="92"/>
      <c r="D6" s="74"/>
      <c r="E6" s="74"/>
      <c r="F6" s="74"/>
      <c r="G6" s="74"/>
      <c r="H6" s="74"/>
      <c r="I6" s="101" t="s">
        <v>79</v>
      </c>
      <c r="J6" s="101" t="s">
        <v>79</v>
      </c>
      <c r="K6" s="88"/>
      <c r="L6" s="88"/>
      <c r="M6" s="88"/>
      <c r="N6" s="12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</row>
    <row r="7" spans="1:28" s="90" customFormat="1" ht="31.5" customHeight="1">
      <c r="A7" s="140"/>
      <c r="B7" s="91"/>
      <c r="C7" s="92"/>
      <c r="D7" s="74"/>
      <c r="E7" s="74"/>
      <c r="F7" s="74"/>
      <c r="G7" s="74"/>
      <c r="H7" s="74"/>
      <c r="I7" s="101" t="s">
        <v>79</v>
      </c>
      <c r="J7" s="101" t="s">
        <v>79</v>
      </c>
      <c r="K7" s="88"/>
      <c r="L7" s="88"/>
      <c r="M7" s="88"/>
      <c r="N7" s="12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8" spans="1:28" s="90" customFormat="1" ht="31.5" customHeight="1">
      <c r="A8" s="140"/>
      <c r="B8" s="93"/>
      <c r="C8" s="92"/>
      <c r="D8" s="75"/>
      <c r="E8" s="75"/>
      <c r="F8" s="75"/>
      <c r="G8" s="75"/>
      <c r="H8" s="75"/>
      <c r="I8" s="95"/>
      <c r="J8" s="75"/>
      <c r="K8" s="88"/>
      <c r="L8" s="88"/>
      <c r="M8" s="88"/>
      <c r="N8" s="12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</row>
    <row r="9" spans="1:28" s="90" customFormat="1" ht="31.5" customHeight="1">
      <c r="A9" s="140"/>
      <c r="B9" s="94"/>
      <c r="C9" s="92"/>
      <c r="D9" s="74"/>
      <c r="E9" s="74"/>
      <c r="F9" s="74"/>
      <c r="G9" s="74"/>
      <c r="H9" s="74"/>
      <c r="I9" s="74"/>
      <c r="J9" s="74"/>
      <c r="K9" s="88"/>
      <c r="L9" s="88"/>
      <c r="M9" s="88"/>
      <c r="N9" s="12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</row>
    <row r="10" spans="1:28" s="90" customFormat="1" ht="31.5" customHeight="1">
      <c r="A10" s="140"/>
      <c r="B10" s="96" t="s">
        <v>68</v>
      </c>
      <c r="C10" s="92"/>
      <c r="D10" s="74"/>
      <c r="E10" s="74"/>
      <c r="F10" s="74"/>
      <c r="G10" s="74"/>
      <c r="H10" s="74"/>
      <c r="I10" s="97"/>
      <c r="J10" s="74"/>
      <c r="K10" s="88"/>
      <c r="L10" s="88"/>
      <c r="M10" s="88"/>
      <c r="N10" s="12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</row>
    <row r="11" spans="1:28" s="90" customFormat="1" ht="31.5" customHeight="1">
      <c r="A11" s="140"/>
      <c r="B11" s="86" t="s">
        <v>27</v>
      </c>
      <c r="C11" s="98"/>
      <c r="D11" s="76"/>
      <c r="E11" s="76"/>
      <c r="F11" s="99"/>
      <c r="G11" s="100"/>
      <c r="H11" s="76"/>
      <c r="I11" s="99"/>
      <c r="J11" s="88"/>
      <c r="K11" s="88"/>
      <c r="L11" s="88"/>
      <c r="M11" s="88"/>
      <c r="N11" s="12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</row>
    <row r="12" spans="1:28" s="90" customFormat="1" ht="31.5" customHeight="1">
      <c r="A12" s="140"/>
      <c r="B12" s="101" t="s">
        <v>77</v>
      </c>
      <c r="C12" s="98"/>
      <c r="D12" s="131" t="s">
        <v>28</v>
      </c>
      <c r="E12" s="134"/>
      <c r="F12" s="134"/>
      <c r="G12" s="134"/>
      <c r="H12" s="135"/>
      <c r="I12" s="131" t="s">
        <v>29</v>
      </c>
      <c r="J12" s="132"/>
      <c r="K12" s="132"/>
      <c r="L12" s="132"/>
      <c r="M12" s="133"/>
      <c r="N12" s="12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</row>
    <row r="13" spans="1:28" s="90" customFormat="1" ht="31.5" customHeight="1">
      <c r="A13" s="140"/>
      <c r="B13" s="101" t="s">
        <v>78</v>
      </c>
      <c r="C13" s="98"/>
      <c r="D13" s="73" t="s">
        <v>30</v>
      </c>
      <c r="E13" s="77" t="s">
        <v>31</v>
      </c>
      <c r="F13" s="77" t="s">
        <v>32</v>
      </c>
      <c r="G13" s="77" t="s">
        <v>33</v>
      </c>
      <c r="H13" s="77" t="s">
        <v>34</v>
      </c>
      <c r="I13" s="73" t="s">
        <v>30</v>
      </c>
      <c r="J13" s="77" t="s">
        <v>31</v>
      </c>
      <c r="K13" s="77" t="s">
        <v>32</v>
      </c>
      <c r="L13" s="77" t="s">
        <v>33</v>
      </c>
      <c r="M13" s="97" t="s">
        <v>34</v>
      </c>
      <c r="N13" s="12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</row>
    <row r="14" spans="1:28" s="90" customFormat="1" ht="31.5" customHeight="1">
      <c r="A14" s="140"/>
      <c r="B14" s="101" t="s">
        <v>79</v>
      </c>
      <c r="C14" s="98"/>
      <c r="D14" s="91" t="s">
        <v>73</v>
      </c>
      <c r="E14" s="78">
        <v>4</v>
      </c>
      <c r="F14" s="79">
        <f t="shared" ref="F14:F24" si="0">E14/E$26</f>
        <v>0.16</v>
      </c>
      <c r="G14" s="80">
        <v>15</v>
      </c>
      <c r="H14" s="70">
        <f t="shared" ref="H14:H22" si="1">G14/H$26</f>
        <v>0.15</v>
      </c>
      <c r="I14" s="101" t="s">
        <v>77</v>
      </c>
      <c r="J14" s="78">
        <v>2</v>
      </c>
      <c r="K14" s="79">
        <f>J14/E$26</f>
        <v>0.08</v>
      </c>
      <c r="L14" s="80">
        <v>7</v>
      </c>
      <c r="M14" s="70">
        <f t="shared" ref="M14:M24" si="2">L14/H$26</f>
        <v>7.0000000000000007E-2</v>
      </c>
      <c r="N14" s="12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</row>
    <row r="15" spans="1:28" s="90" customFormat="1" ht="31.5" customHeight="1">
      <c r="A15" s="140"/>
      <c r="B15" s="101"/>
      <c r="C15" s="98"/>
      <c r="D15" s="91" t="s">
        <v>74</v>
      </c>
      <c r="E15" s="78">
        <v>1</v>
      </c>
      <c r="F15" s="79">
        <f t="shared" si="0"/>
        <v>0.04</v>
      </c>
      <c r="G15" s="80">
        <v>5</v>
      </c>
      <c r="H15" s="70">
        <f t="shared" si="1"/>
        <v>0.05</v>
      </c>
      <c r="I15" s="101" t="s">
        <v>78</v>
      </c>
      <c r="J15" s="78">
        <v>2</v>
      </c>
      <c r="K15" s="79">
        <f t="shared" ref="K15:K24" si="3">J15/E$26</f>
        <v>0.08</v>
      </c>
      <c r="L15" s="80">
        <v>8</v>
      </c>
      <c r="M15" s="70">
        <f t="shared" si="2"/>
        <v>0.08</v>
      </c>
      <c r="N15" s="12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</row>
    <row r="16" spans="1:28" s="90" customFormat="1" ht="31.5" customHeight="1">
      <c r="A16" s="140"/>
      <c r="B16" s="102"/>
      <c r="C16" s="98"/>
      <c r="D16" s="91" t="s">
        <v>75</v>
      </c>
      <c r="E16" s="78">
        <v>2</v>
      </c>
      <c r="F16" s="79">
        <f t="shared" si="0"/>
        <v>0.08</v>
      </c>
      <c r="G16" s="80">
        <v>8</v>
      </c>
      <c r="H16" s="70">
        <f t="shared" si="1"/>
        <v>0.08</v>
      </c>
      <c r="I16" s="101" t="s">
        <v>79</v>
      </c>
      <c r="J16" s="78">
        <v>13</v>
      </c>
      <c r="K16" s="79">
        <f t="shared" si="3"/>
        <v>0.52</v>
      </c>
      <c r="L16" s="80">
        <v>52</v>
      </c>
      <c r="M16" s="70">
        <f t="shared" si="2"/>
        <v>0.52</v>
      </c>
      <c r="N16" s="12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</row>
    <row r="17" spans="1:28" s="90" customFormat="1" ht="31.5" customHeight="1">
      <c r="A17" s="140"/>
      <c r="B17" s="102"/>
      <c r="C17" s="98"/>
      <c r="D17" s="91" t="s">
        <v>76</v>
      </c>
      <c r="E17" s="78">
        <v>1</v>
      </c>
      <c r="F17" s="79">
        <f t="shared" si="0"/>
        <v>0.04</v>
      </c>
      <c r="G17" s="80">
        <v>5</v>
      </c>
      <c r="H17" s="70">
        <f t="shared" si="1"/>
        <v>0.05</v>
      </c>
      <c r="I17" s="101"/>
      <c r="J17" s="78"/>
      <c r="K17" s="79">
        <f t="shared" si="3"/>
        <v>0</v>
      </c>
      <c r="L17" s="80"/>
      <c r="M17" s="70">
        <f t="shared" si="2"/>
        <v>0</v>
      </c>
      <c r="N17" s="12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</row>
    <row r="18" spans="1:28" s="90" customFormat="1" ht="31.5" customHeight="1">
      <c r="A18" s="140"/>
      <c r="B18" s="102"/>
      <c r="C18" s="98"/>
      <c r="D18" s="91"/>
      <c r="E18" s="78"/>
      <c r="F18" s="79">
        <f t="shared" si="0"/>
        <v>0</v>
      </c>
      <c r="G18" s="80"/>
      <c r="H18" s="70">
        <f t="shared" si="1"/>
        <v>0</v>
      </c>
      <c r="I18" s="101"/>
      <c r="J18" s="78"/>
      <c r="K18" s="79">
        <f t="shared" si="3"/>
        <v>0</v>
      </c>
      <c r="L18" s="80"/>
      <c r="M18" s="70">
        <f t="shared" si="2"/>
        <v>0</v>
      </c>
      <c r="N18" s="12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</row>
    <row r="19" spans="1:28" s="90" customFormat="1" ht="31.5" customHeight="1">
      <c r="A19" s="140"/>
      <c r="B19" s="88"/>
      <c r="C19" s="98"/>
      <c r="D19" s="91"/>
      <c r="E19" s="78"/>
      <c r="F19" s="79">
        <f t="shared" si="0"/>
        <v>0</v>
      </c>
      <c r="G19" s="80"/>
      <c r="H19" s="70">
        <f t="shared" si="1"/>
        <v>0</v>
      </c>
      <c r="I19" s="101"/>
      <c r="J19" s="78"/>
      <c r="K19" s="79">
        <f t="shared" si="3"/>
        <v>0</v>
      </c>
      <c r="L19" s="81"/>
      <c r="M19" s="70">
        <f t="shared" si="2"/>
        <v>0</v>
      </c>
      <c r="N19" s="12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</row>
    <row r="20" spans="1:28" s="90" customFormat="1" ht="31.5" customHeight="1">
      <c r="A20" s="140"/>
      <c r="B20" s="136" t="s">
        <v>35</v>
      </c>
      <c r="C20" s="98"/>
      <c r="D20" s="91"/>
      <c r="E20" s="78"/>
      <c r="F20" s="79">
        <f t="shared" si="0"/>
        <v>0</v>
      </c>
      <c r="G20" s="80"/>
      <c r="H20" s="70">
        <f t="shared" si="1"/>
        <v>0</v>
      </c>
      <c r="I20" s="101"/>
      <c r="J20" s="78"/>
      <c r="K20" s="79">
        <f t="shared" si="3"/>
        <v>0</v>
      </c>
      <c r="L20" s="81"/>
      <c r="M20" s="70">
        <f t="shared" si="2"/>
        <v>0</v>
      </c>
      <c r="N20" s="12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</row>
    <row r="21" spans="1:28" s="90" customFormat="1" ht="31.5" customHeight="1">
      <c r="A21" s="140"/>
      <c r="B21" s="137"/>
      <c r="C21" s="98"/>
      <c r="D21" s="91"/>
      <c r="E21" s="78"/>
      <c r="F21" s="79">
        <f t="shared" si="0"/>
        <v>0</v>
      </c>
      <c r="G21" s="80"/>
      <c r="H21" s="70">
        <f t="shared" si="1"/>
        <v>0</v>
      </c>
      <c r="I21" s="101"/>
      <c r="J21" s="78"/>
      <c r="K21" s="79">
        <f t="shared" si="3"/>
        <v>0</v>
      </c>
      <c r="L21" s="81"/>
      <c r="M21" s="70">
        <f t="shared" si="2"/>
        <v>0</v>
      </c>
      <c r="N21" s="12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</row>
    <row r="22" spans="1:28" s="90" customFormat="1" ht="31.5" customHeight="1">
      <c r="A22" s="140"/>
      <c r="B22" s="138">
        <f>1/C26</f>
        <v>0.04</v>
      </c>
      <c r="C22" s="98"/>
      <c r="D22" s="91"/>
      <c r="E22" s="78"/>
      <c r="F22" s="79">
        <f t="shared" si="0"/>
        <v>0</v>
      </c>
      <c r="G22" s="80"/>
      <c r="H22" s="70">
        <f t="shared" si="1"/>
        <v>0</v>
      </c>
      <c r="I22" s="101"/>
      <c r="J22" s="78"/>
      <c r="K22" s="79">
        <f t="shared" si="3"/>
        <v>0</v>
      </c>
      <c r="L22" s="81"/>
      <c r="M22" s="70">
        <f t="shared" si="2"/>
        <v>0</v>
      </c>
      <c r="N22" s="12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</row>
    <row r="23" spans="1:28" s="90" customFormat="1" ht="31.5" customHeight="1">
      <c r="A23" s="140"/>
      <c r="B23" s="139"/>
      <c r="C23" s="82"/>
      <c r="D23" s="91"/>
      <c r="E23" s="83"/>
      <c r="F23" s="79">
        <f t="shared" si="0"/>
        <v>0</v>
      </c>
      <c r="G23" s="81"/>
      <c r="H23" s="70">
        <f t="shared" ref="H23:H24" si="4">G23/H$26</f>
        <v>0</v>
      </c>
      <c r="I23" s="101"/>
      <c r="J23" s="103"/>
      <c r="K23" s="79">
        <f t="shared" si="3"/>
        <v>0</v>
      </c>
      <c r="L23" s="104"/>
      <c r="M23" s="70">
        <f t="shared" si="2"/>
        <v>0</v>
      </c>
      <c r="N23" s="12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spans="1:28" s="90" customFormat="1" ht="31.5" customHeight="1">
      <c r="A24" s="140"/>
      <c r="B24" s="105"/>
      <c r="C24" s="88"/>
      <c r="D24" s="91"/>
      <c r="E24" s="78"/>
      <c r="F24" s="79">
        <f t="shared" si="0"/>
        <v>0</v>
      </c>
      <c r="G24" s="106"/>
      <c r="H24" s="70">
        <f t="shared" si="4"/>
        <v>0</v>
      </c>
      <c r="I24" s="101"/>
      <c r="J24" s="103"/>
      <c r="K24" s="79">
        <f t="shared" si="3"/>
        <v>0</v>
      </c>
      <c r="L24" s="104"/>
      <c r="M24" s="70">
        <f t="shared" si="2"/>
        <v>0</v>
      </c>
      <c r="N24" s="12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</row>
    <row r="25" spans="1:28" s="90" customFormat="1" ht="31.5" customHeight="1">
      <c r="A25" s="140"/>
      <c r="B25" s="88" t="s">
        <v>68</v>
      </c>
      <c r="C25" s="99"/>
      <c r="D25" s="107" t="s">
        <v>36</v>
      </c>
      <c r="E25" s="108">
        <f>SUM(E14:E24)</f>
        <v>8</v>
      </c>
      <c r="F25" s="79">
        <f>E25/C$26</f>
        <v>0.32</v>
      </c>
      <c r="G25" s="109" t="s">
        <v>37</v>
      </c>
      <c r="H25" s="84">
        <f>SUM(H14:H24)</f>
        <v>0.33</v>
      </c>
      <c r="I25" s="107" t="s">
        <v>36</v>
      </c>
      <c r="J25" s="108">
        <f>SUM(J14:J24)</f>
        <v>17</v>
      </c>
      <c r="K25" s="79">
        <f>J25/C$26</f>
        <v>0.68</v>
      </c>
      <c r="L25" s="85" t="s">
        <v>70</v>
      </c>
      <c r="M25" s="71">
        <f>SUM(L14:L24)/H26</f>
        <v>0.67</v>
      </c>
      <c r="N25" s="12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</row>
    <row r="26" spans="1:28" s="90" customFormat="1" ht="31.5" customHeight="1">
      <c r="A26" s="140"/>
      <c r="B26" s="88" t="s">
        <v>72</v>
      </c>
      <c r="C26" s="88">
        <v>25</v>
      </c>
      <c r="D26" s="110" t="s">
        <v>39</v>
      </c>
      <c r="E26" s="111">
        <f>SUM(E25,J25)</f>
        <v>25</v>
      </c>
      <c r="F26" s="112">
        <f>SUM(F25,K25)</f>
        <v>1</v>
      </c>
      <c r="G26" s="113" t="s">
        <v>40</v>
      </c>
      <c r="H26" s="114">
        <v>100</v>
      </c>
      <c r="I26" s="77"/>
      <c r="J26" s="97"/>
      <c r="K26" s="97"/>
      <c r="L26" s="103"/>
      <c r="M26" s="103"/>
      <c r="N26" s="12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</row>
    <row r="27" spans="1:28" s="90" customFormat="1" ht="31.5" customHeight="1">
      <c r="A27" s="140"/>
      <c r="B27" s="88" t="s">
        <v>60</v>
      </c>
      <c r="C27" s="115">
        <f>SUM(G14:G24)/H26</f>
        <v>0.33</v>
      </c>
      <c r="D27" s="107"/>
      <c r="E27" s="77"/>
      <c r="F27" s="73"/>
      <c r="G27" s="73"/>
      <c r="H27" s="77"/>
      <c r="I27" s="77"/>
      <c r="J27" s="97"/>
      <c r="K27" s="97"/>
      <c r="L27" s="103"/>
      <c r="M27" s="103"/>
      <c r="N27" s="12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</row>
    <row r="28" spans="1:28" s="90" customFormat="1" ht="31.5" customHeight="1">
      <c r="A28" s="140"/>
      <c r="B28" s="88" t="s">
        <v>29</v>
      </c>
      <c r="C28" s="115">
        <f>SUM(L14:L24)/H26</f>
        <v>0.67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12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</row>
    <row r="29" spans="1:28" s="90" customFormat="1" ht="15.75" customHeight="1">
      <c r="A29" s="140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2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</row>
    <row r="30" spans="1:28" ht="15.75" customHeight="1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8" ht="15.75" customHeight="1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8" ht="15.75" customHeight="1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2:27" ht="15.75" customHeight="1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2:27" ht="15.75" customHeight="1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2:27" ht="15.75" customHeight="1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2:27" ht="15.75" customHeight="1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2:27" ht="15.75" customHeight="1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2:27" ht="15.75" customHeight="1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2:27" ht="15.75" customHeight="1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2:27" ht="15.75" customHeight="1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15.75" customHeight="1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2:27" ht="15.75" customHeight="1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2:27" ht="15.75" customHeight="1"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2:27" ht="15.75" customHeight="1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2:27" ht="15.75" customHeight="1"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2:27" ht="15.75" customHeight="1"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2:27" ht="15.75" customHeight="1"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2:27" ht="15.75" customHeight="1"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2:27" ht="15.75" customHeight="1"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2:27" ht="15.75" customHeight="1"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2:27" ht="15.75" customHeight="1"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2:27" ht="15.75" customHeight="1"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2:27" ht="15.75" customHeight="1"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2:27" ht="15.75" customHeight="1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15.75" customHeight="1"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15.75" customHeight="1"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spans="2:27" ht="15.75" customHeight="1"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spans="2:27" ht="15.75" customHeight="1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spans="2:27" ht="15.75" customHeight="1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spans="2:27" ht="15.75" customHeight="1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spans="2:27" ht="15.75" customHeight="1"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spans="2:27" ht="15.75" customHeight="1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spans="2:27" ht="15.75" customHeight="1"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spans="2:27" ht="15.75" customHeight="1"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spans="2:27" ht="15.75" customHeight="1"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2:27" ht="15.75" customHeight="1"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2:27" ht="15.75" customHeight="1"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spans="2:27" ht="15.75" customHeight="1"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spans="2:27" ht="15.75" customHeight="1"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2:27" ht="15.75" customHeight="1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2:27" ht="15.75" customHeight="1"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spans="2:27" ht="15.75" customHeight="1"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spans="2:27" ht="15.75" customHeight="1"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spans="2:27" ht="15.75" customHeight="1"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spans="2:27" ht="15.75" customHeight="1"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spans="2:27" ht="15.75" customHeight="1"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spans="2:27" ht="15.75" customHeight="1"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spans="2:27" ht="15.75" customHeight="1"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spans="2:27" ht="15.75" customHeight="1"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spans="2:27" ht="15.75" customHeight="1"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spans="2:27" ht="15.75" customHeight="1"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spans="2:27" ht="15.75" customHeight="1"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spans="2:27" ht="15.75" customHeight="1"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spans="2:27" ht="15.75" customHeight="1"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spans="2:27" ht="15.75" customHeight="1"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spans="2:27" ht="15.75" customHeight="1"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spans="2:27" ht="15.75" customHeight="1"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spans="2:27" ht="15.75" customHeight="1"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spans="2:27" ht="15.75" customHeight="1"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spans="2:27" ht="15.75" customHeight="1"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spans="2:27" ht="15.75" customHeight="1"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spans="2:27" ht="15.75" customHeight="1"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spans="2:27" ht="15.75" customHeight="1"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spans="2:27" ht="15.75" customHeight="1"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spans="2:27" ht="15.75" customHeight="1"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spans="2:27" ht="15.75" customHeight="1"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spans="2:27" ht="15.75" customHeight="1"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spans="2:27" ht="15.75" customHeight="1"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spans="2:27" ht="15.75" customHeight="1"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spans="2:27" ht="15.75" customHeight="1"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spans="2:27" ht="15.75" customHeight="1"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spans="2:27" ht="15.75" customHeight="1"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spans="2:27" ht="15.75" customHeight="1"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spans="2:27" ht="15.75" customHeight="1"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spans="2:27" ht="15.75" customHeight="1"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spans="2:27" ht="15.75" customHeight="1"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spans="2:27" ht="15.75" customHeight="1"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spans="2:27" ht="15.75" customHeight="1"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spans="2:27" ht="15.75" customHeight="1"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spans="2:27" ht="15.75" customHeight="1"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2:27" ht="15.75" customHeight="1"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2:27" ht="15.75" customHeight="1"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2:27" ht="15.75" customHeight="1"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2:27" ht="15.75" customHeight="1"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2:27" ht="15.75" customHeight="1"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spans="2:27" ht="15.75" customHeight="1"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spans="2:27" ht="15.75" customHeight="1"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spans="2:27" ht="15.75" customHeight="1"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spans="2:27" ht="15.75" customHeight="1"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spans="2:27" ht="15.75" customHeight="1"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spans="2:27" ht="15.75" customHeight="1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spans="2:27" ht="15.75" customHeight="1"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spans="2:27" ht="15.75" customHeight="1"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spans="2:27" ht="15.75" customHeight="1"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spans="2:27" ht="15.75" customHeight="1"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spans="2:27" ht="15.75" customHeight="1"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spans="2:27" ht="15.75" customHeight="1"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spans="2:27" ht="15.75" customHeight="1"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spans="2:27" ht="15.75" customHeight="1"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spans="2:27" ht="15.75" customHeight="1"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spans="2:27" ht="15.75" customHeight="1"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spans="2:27" ht="15.75" customHeight="1"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spans="2:27" ht="15.75" customHeight="1"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spans="2:27" ht="15.75" customHeight="1"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spans="2:27" ht="15.75" customHeight="1"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spans="2:27" ht="15.75" customHeight="1"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spans="2:27" ht="15.75" customHeight="1"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spans="2:27" ht="15.75" customHeight="1"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spans="2:27" ht="15.75" customHeight="1"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spans="2:27" ht="15.75" customHeight="1"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spans="2:27" ht="15.75" customHeight="1"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spans="2:27" ht="15.75" customHeight="1"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spans="2:27" ht="15.75" customHeight="1"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spans="2:27" ht="15.75" customHeight="1"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spans="2:27" ht="15.75" customHeight="1"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spans="2:27" ht="15.75" customHeight="1"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spans="2:27" ht="15.75" customHeight="1"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spans="2:27" ht="15.75" customHeight="1"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spans="2:27" ht="15.75" customHeight="1"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spans="2:27" ht="15.75" customHeight="1"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spans="2:27" ht="15.75" customHeight="1"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spans="2:27" ht="15.75" customHeight="1"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spans="2:27" ht="15.75" customHeight="1"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spans="2:27" ht="15.75" customHeight="1"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spans="2:27" ht="15.75" customHeight="1"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spans="2:27" ht="15.75" customHeight="1"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spans="2:27" ht="15.75" customHeight="1"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spans="2:27" ht="15.75" customHeight="1"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spans="2:27" ht="15.75" customHeight="1"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spans="2:27" ht="15.75" customHeight="1"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spans="2:27" ht="15.75" customHeight="1"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spans="2:27" ht="15.75" customHeight="1"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spans="2:27" ht="15.75" customHeight="1"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spans="2:27" ht="15.75" customHeight="1"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spans="2:27" ht="15.75" customHeight="1"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spans="2:27" ht="15.75" customHeight="1"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spans="2:27" ht="15.75" customHeight="1"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spans="2:27" ht="15.75" customHeight="1"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spans="2:27" ht="15.75" customHeight="1"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spans="2:27" ht="15.75" customHeight="1"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spans="2:27" ht="15.75" customHeight="1"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spans="2:27" ht="15.75" customHeight="1"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spans="2:27" ht="15.75" customHeight="1"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spans="2:27" ht="15.75" customHeight="1"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spans="2:27" ht="15.75" customHeight="1"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spans="2:27" ht="15.75" customHeight="1"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spans="2:27" ht="15.75" customHeight="1"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spans="2:27" ht="15.75" customHeight="1"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spans="2:27" ht="15.75" customHeight="1"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spans="2:27" ht="15.75" customHeight="1"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spans="2:27" ht="15.75" customHeight="1"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spans="2:27" ht="15.75" customHeight="1"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spans="2:27" ht="15.75" customHeight="1"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spans="2:27" ht="15.75" customHeight="1"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spans="2:27" ht="15.75" customHeight="1"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spans="2:27" ht="15.75" customHeight="1"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spans="2:27" ht="15.75" customHeight="1"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spans="2:27" ht="15.75" customHeight="1"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spans="2:27" ht="15.75" customHeight="1"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spans="2:27" ht="15.75" customHeight="1"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spans="2:27" ht="15.75" customHeight="1"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spans="2:27" ht="15.75" customHeight="1"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spans="2:27" ht="15.75" customHeight="1"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spans="2:27" ht="15.75" customHeight="1"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spans="2:27" ht="15.75" customHeight="1"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spans="2:27" ht="15.75" customHeight="1"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spans="2:27" ht="15.75" customHeight="1"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spans="2:27" ht="15.75" customHeight="1"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spans="2:27" ht="15.75" customHeight="1"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spans="2:27" ht="15.75" customHeight="1"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spans="2:27" ht="15.75" customHeight="1"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spans="2:27" ht="15.75" customHeight="1"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spans="2:27" ht="15.75" customHeight="1"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spans="2:27" ht="15.75" customHeight="1"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spans="2:27" ht="15.75" customHeight="1"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spans="2:27" ht="15.75" customHeight="1"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spans="2:27" ht="15.75" customHeight="1"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spans="2:27" ht="15.75" customHeight="1"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spans="2:27" ht="15.75" customHeight="1"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spans="2:27" ht="15.75" customHeight="1"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spans="2:27" ht="15.75" customHeight="1"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spans="2:27" ht="15.75" customHeight="1"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spans="2:27" ht="15.75" customHeight="1"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spans="2:27" ht="15.75" customHeight="1"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spans="2:27" ht="15.75" customHeight="1"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spans="2:27" ht="15.75" customHeight="1"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spans="2:27" ht="15.75" customHeight="1"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spans="2:27" ht="15.75" customHeight="1"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spans="2:27" ht="15.75" customHeight="1"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spans="2:27" ht="15.75" customHeight="1"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spans="2:27" ht="15.75" customHeight="1"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spans="2:27" ht="15.75" customHeight="1"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spans="2:27" ht="15.75" customHeight="1"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spans="2:27" ht="15.75" customHeight="1"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spans="2:27" ht="15.75" customHeight="1"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spans="2:27" ht="15.75" customHeight="1"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spans="2:27" ht="15.75" customHeight="1"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spans="2:27" ht="15.75" customHeight="1"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spans="2:27" ht="15.75" customHeight="1"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spans="2:27" ht="15.75" customHeight="1"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spans="2:27" ht="15.75" customHeight="1"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spans="2:27" ht="15.75" customHeight="1"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spans="2:27" ht="15.75" customHeight="1"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spans="2:27" ht="15.75" customHeight="1"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spans="2:27" ht="15.75" customHeight="1"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spans="2:27" ht="15.75" customHeight="1"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spans="2:27" ht="15.75" customHeight="1"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spans="2:27" ht="15.75" customHeight="1"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spans="2:27" ht="15.75" customHeight="1"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spans="2:27" ht="15.75" customHeight="1"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spans="2:27" ht="15.75" customHeight="1"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spans="2:27" ht="15.75" customHeight="1"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spans="2:27" ht="15.75" customHeight="1"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spans="2:27" ht="15.75" customHeight="1"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spans="2:27" ht="15.75" customHeight="1"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spans="2:27" ht="15.75" customHeight="1"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spans="2:27" ht="15.75" customHeight="1"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spans="2:27" ht="15.75" customHeight="1"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spans="2:27" ht="15.75" customHeight="1"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spans="2:27" ht="15.75" customHeight="1"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spans="2:27" ht="15.75" customHeight="1"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spans="2:27" ht="15.75" customHeight="1"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spans="2:27" ht="15.75" customHeight="1"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spans="2:27" ht="15.75" customHeight="1"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spans="2:27" ht="15.75" customHeight="1"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spans="2:27" ht="15.75" customHeight="1"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spans="2:27" ht="15.75" customHeight="1"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spans="2:27" ht="15.75" customHeight="1"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spans="2:27" ht="15.75" customHeight="1"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spans="2:27" ht="15.75" customHeight="1"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spans="2:27" ht="15.75" customHeight="1"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spans="2:27" ht="15.75" customHeight="1"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spans="2:27" ht="15.75" customHeight="1"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spans="2:27" ht="15.75" customHeight="1"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spans="2:27" ht="15.75" customHeight="1"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spans="2:27" ht="15.75" customHeight="1"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spans="2:27" ht="15.75" customHeight="1"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spans="2:27" ht="15.75" customHeight="1"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spans="2:27" ht="15.75" customHeight="1"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spans="2:27" ht="15.75" customHeight="1"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spans="2:27" ht="15.75" customHeight="1"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spans="2:27" ht="15.75" customHeight="1"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spans="2:27" ht="15.75" customHeight="1"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spans="2:27" ht="15.75" customHeight="1"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spans="2:27" ht="15.75" customHeight="1"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spans="2:27" ht="15.75" customHeight="1"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spans="2:27" ht="15.75" customHeight="1"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spans="2:27" ht="15.75" customHeight="1"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spans="2:27" ht="15.75" customHeight="1"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spans="2:27" ht="15.75" customHeight="1"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spans="2:27" ht="15.75" customHeight="1"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spans="2:27" ht="15.75" customHeight="1"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spans="2:27" ht="15.75" customHeight="1"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spans="2:27" ht="15.75" customHeight="1"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spans="2:27" ht="15.75" customHeight="1"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spans="2:27" ht="15.75" customHeight="1"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spans="2:27" ht="15.75" customHeight="1"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 spans="2:27" ht="15.75" customHeight="1"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 spans="2:27" ht="15.75" customHeight="1"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 spans="2:27" ht="15.75" customHeight="1"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 spans="2:27" ht="15.75" customHeight="1"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 spans="2:27" ht="15.75" customHeight="1"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 spans="2:27" ht="15.75" customHeight="1"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 spans="2:27" ht="15.75" customHeight="1"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 spans="2:27" ht="15.75" customHeight="1"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 spans="2:27" ht="15.75" customHeight="1"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 spans="2:27" ht="15.75" customHeight="1"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 spans="2:27" ht="15.75" customHeight="1"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 spans="2:27" ht="15.75" customHeight="1"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 spans="2:27" ht="15.75" customHeight="1"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 spans="2:27" ht="15.75" customHeight="1"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 spans="2:27" ht="15.75" customHeight="1"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 spans="2:27" ht="15.75" customHeight="1"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 spans="2:27" ht="15.75" customHeight="1"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 spans="2:27" ht="15.75" customHeight="1"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 spans="2:27" ht="15.75" customHeight="1"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 spans="2:27" ht="15.75" customHeight="1"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 spans="2:27" ht="15.75" customHeight="1"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 spans="2:27" ht="15.75" customHeight="1"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 spans="2:27" ht="15.75" customHeight="1"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 spans="2:27" ht="15.75" customHeight="1"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 spans="2:27" ht="15.75" customHeight="1"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 spans="2:27" ht="15.75" customHeight="1"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 spans="2:27" ht="15.75" customHeight="1"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 spans="2:27" ht="15.75" customHeight="1"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 spans="2:27" ht="15.75" customHeight="1"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 spans="2:27" ht="15.75" customHeight="1"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 spans="2:27" ht="15.75" customHeight="1"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 spans="2:27" ht="15.75" customHeight="1"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 spans="2:27" ht="15.75" customHeight="1"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 spans="2:27" ht="15.75" customHeight="1"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 spans="2:27" ht="15.75" customHeight="1"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 spans="2:27" ht="15.75" customHeight="1"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 spans="2:27" ht="15.75" customHeight="1"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 spans="2:27" ht="15.75" customHeight="1"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 spans="2:27" ht="15.75" customHeight="1"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 spans="2:27" ht="15.75" customHeight="1"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 spans="2:27" ht="15.75" customHeight="1"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 spans="2:27" ht="15.75" customHeight="1"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 spans="2:27" ht="15.75" customHeight="1"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 spans="2:27" ht="15.75" customHeight="1"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 spans="2:27" ht="15.75" customHeight="1"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 spans="2:27" ht="15.75" customHeight="1"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 spans="2:27" ht="15.75" customHeight="1"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 spans="2:27" ht="15.75" customHeight="1"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 spans="2:27" ht="15.75" customHeight="1"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 spans="2:27" ht="15.75" customHeight="1"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 spans="2:27" ht="15.75" customHeight="1"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 spans="2:27" ht="15.75" customHeight="1"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 spans="2:27" ht="15.75" customHeight="1"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 spans="2:27" ht="15.75" customHeight="1"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 spans="2:27" ht="15.75" customHeight="1"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 spans="2:27" ht="15.75" customHeight="1"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 spans="2:27" ht="15.75" customHeight="1"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 spans="2:27" ht="15.75" customHeight="1"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 spans="2:27" ht="15.75" customHeight="1"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 spans="2:27" ht="15.75" customHeight="1"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 spans="2:27" ht="15.75" customHeight="1"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 spans="2:27" ht="15.75" customHeight="1"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 spans="2:27" ht="15.75" customHeight="1"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 spans="2:27" ht="15.75" customHeight="1"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 spans="2:27" ht="15.75" customHeight="1"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 spans="2:27" ht="15.75" customHeight="1"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 spans="2:27" ht="15.75" customHeight="1"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 spans="2:27" ht="15.75" customHeight="1"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 spans="2:27" ht="15.75" customHeight="1"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 spans="2:27" ht="15.75" customHeight="1"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 spans="2:27" ht="15.75" customHeight="1"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 spans="2:27" ht="15.75" customHeight="1"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 spans="2:27" ht="15.75" customHeight="1"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 spans="2:27" ht="15.75" customHeight="1"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 spans="2:27" ht="15.75" customHeight="1"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 spans="2:27" ht="15.75" customHeight="1"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 spans="2:27" ht="15.75" customHeight="1"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 spans="2:27" ht="15.75" customHeight="1"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 spans="2:27" ht="15.75" customHeight="1"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 spans="2:27" ht="15.75" customHeight="1"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 spans="2:27" ht="15.75" customHeight="1"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 spans="2:27" ht="15.75" customHeight="1"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 spans="2:27" ht="15.75" customHeight="1"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 spans="2:27" ht="15.75" customHeight="1"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 spans="2:27" ht="15.75" customHeight="1"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 spans="2:27" ht="15.75" customHeight="1"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 spans="2:27" ht="15.75" customHeight="1"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 spans="2:27" ht="15.75" customHeight="1"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 spans="2:27" ht="15.75" customHeight="1"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 spans="2:27" ht="15.75" customHeight="1"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 spans="2:27" ht="15.75" customHeight="1"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 spans="2:27" ht="15.75" customHeight="1"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 spans="2:27" ht="15.75" customHeight="1"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 spans="2:27" ht="15.75" customHeight="1"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 spans="2:27" ht="15.75" customHeight="1"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 spans="2:27" ht="15.75" customHeight="1"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 spans="2:27" ht="15.75" customHeight="1"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 spans="2:27" ht="15.75" customHeight="1"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 spans="2:27" ht="15.75" customHeight="1"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 spans="2:27" ht="15.75" customHeight="1"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 spans="2:27" ht="15.75" customHeight="1"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 spans="2:27" ht="15.75" customHeight="1"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 spans="2:27" ht="15.75" customHeight="1"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 spans="2:27" ht="15.75" customHeight="1"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 spans="2:27" ht="15.75" customHeight="1"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 spans="2:27" ht="15.75" customHeight="1"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 spans="2:27" ht="15.75" customHeight="1"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 spans="2:27" ht="15.75" customHeight="1"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 spans="2:27" ht="15.75" customHeight="1"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 spans="2:27" ht="15.75" customHeight="1"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 spans="2:27" ht="15.75" customHeight="1"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 spans="2:27" ht="15.75" customHeight="1"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 spans="2:27" ht="15.75" customHeight="1"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 spans="2:27" ht="15.75" customHeight="1"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 spans="2:27" ht="15.75" customHeight="1"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 spans="2:27" ht="15.75" customHeight="1"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 spans="2:27" ht="15.75" customHeight="1"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 spans="2:27" ht="15.75" customHeight="1"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 spans="2:27" ht="15.75" customHeight="1"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 spans="2:27" ht="15.75" customHeight="1"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 spans="2:27" ht="15.75" customHeight="1"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 spans="2:27" ht="15.75" customHeight="1"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 spans="2:27" ht="15.75" customHeight="1"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 spans="2:27" ht="15.75" customHeight="1"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 spans="2:27" ht="15.75" customHeight="1"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 spans="2:27" ht="15.75" customHeight="1"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 spans="2:27" ht="15.75" customHeight="1"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 spans="2:27" ht="15.75" customHeight="1"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 spans="2:27" ht="15.75" customHeight="1"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 spans="2:27" ht="15.75" customHeight="1"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 spans="2:27" ht="15.75" customHeight="1"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 spans="2:27" ht="15.75" customHeight="1"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 spans="2:27" ht="15.75" customHeight="1"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 spans="2:27" ht="15.75" customHeight="1"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 spans="2:27" ht="15.75" customHeight="1"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 spans="2:27" ht="15.75" customHeight="1"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 spans="2:27" ht="15.75" customHeight="1"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 spans="2:27" ht="15.75" customHeight="1"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 spans="2:27" ht="15.75" customHeight="1"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 spans="2:27" ht="15.75" customHeight="1"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 spans="2:27" ht="15.75" customHeight="1"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 spans="2:27" ht="15.75" customHeight="1"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 spans="2:27" ht="15.75" customHeight="1"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 spans="2:27" ht="15.75" customHeight="1"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 spans="2:27" ht="15.75" customHeight="1"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 spans="2:27" ht="15.75" customHeight="1"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 spans="2:27" ht="15.75" customHeight="1"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 spans="2:27" ht="15.75" customHeight="1"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 spans="2:27" ht="15.75" customHeight="1"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 spans="2:27" ht="15.75" customHeight="1"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 spans="2:27" ht="15.75" customHeight="1"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 spans="2:27" ht="15.75" customHeight="1"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 spans="2:27" ht="15.75" customHeight="1"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 spans="2:27" ht="15.75" customHeight="1"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 spans="2:27" ht="15.75" customHeight="1"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 spans="2:27" ht="15.75" customHeight="1"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 spans="2:27" ht="15.75" customHeight="1"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 spans="2:27" ht="15.75" customHeight="1"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 spans="2:27" ht="15.75" customHeight="1"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 spans="2:27" ht="15.75" customHeight="1"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 spans="2:27" ht="15.75" customHeight="1"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 spans="2:27" ht="15.75" customHeight="1"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 spans="2:27" ht="15.75" customHeight="1"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 spans="2:27" ht="15.75" customHeight="1"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 spans="2:27" ht="15.75" customHeight="1"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 spans="2:27" ht="15.75" customHeight="1"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 spans="2:27" ht="15.75" customHeight="1"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 spans="2:27" ht="15.75" customHeight="1"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 spans="2:27" ht="15.75" customHeight="1"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 spans="2:27" ht="15.75" customHeight="1"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 spans="2:27" ht="15.75" customHeight="1"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 spans="2:27" ht="15.75" customHeight="1"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 spans="2:27" ht="15.75" customHeight="1"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 spans="2:27" ht="15.75" customHeight="1"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 spans="2:27" ht="15.75" customHeight="1"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 spans="2:27" ht="15.75" customHeight="1"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 spans="2:27" ht="15.75" customHeight="1"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 spans="2:27" ht="15.75" customHeight="1"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 spans="2:27" ht="15.75" customHeight="1"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 spans="2:27" ht="15.75" customHeight="1"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 spans="2:27" ht="15.75" customHeight="1"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 spans="2:27" ht="15.75" customHeight="1"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 spans="2:27" ht="15.75" customHeight="1"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 spans="2:27" ht="15.75" customHeight="1"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 spans="2:27" ht="15.75" customHeight="1"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 spans="2:27" ht="15.75" customHeight="1"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 spans="2:27" ht="15.75" customHeight="1"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 spans="2:27" ht="15.75" customHeight="1"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 spans="2:27" ht="15.75" customHeight="1"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 spans="2:27" ht="15.75" customHeight="1"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 spans="2:27" ht="15.75" customHeight="1"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 spans="2:27" ht="15.75" customHeight="1"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 spans="2:27" ht="15.75" customHeight="1"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 spans="2:27" ht="15.75" customHeight="1"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 spans="2:27" ht="15.75" customHeight="1"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 spans="2:27" ht="15.75" customHeight="1"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 spans="2:27" ht="15.75" customHeight="1"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 spans="2:27" ht="15.75" customHeight="1"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 spans="2:27" ht="15.75" customHeight="1"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 spans="2:27" ht="15.75" customHeight="1"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 spans="2:27" ht="15.75" customHeight="1"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 spans="2:27" ht="15.75" customHeight="1"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 spans="2:27" ht="15.75" customHeight="1"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 spans="2:27" ht="15.75" customHeight="1"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 spans="2:27" ht="15.75" customHeight="1"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 spans="2:27" ht="15.75" customHeight="1"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 spans="2:27" ht="15.75" customHeight="1"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 spans="2:27" ht="15.75" customHeight="1"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 spans="2:27" ht="15.75" customHeight="1"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 spans="2:27" ht="15.75" customHeight="1"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 spans="2:27" ht="15.75" customHeight="1"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 spans="2:27" ht="15.75" customHeight="1"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 spans="2:27" ht="15.75" customHeight="1"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 spans="2:27" ht="15.75" customHeight="1"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 spans="2:27" ht="15.75" customHeight="1"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 spans="2:27" ht="15.75" customHeight="1"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 spans="2:27" ht="15.75" customHeight="1"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 spans="2:27" ht="15.75" customHeight="1"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 spans="2:27" ht="15.75" customHeight="1"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 spans="2:27" ht="15.75" customHeight="1"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 spans="2:27" ht="15.75" customHeight="1"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 spans="2:27" ht="15.75" customHeight="1"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 spans="2:27" ht="15.75" customHeight="1"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 spans="2:27" ht="15.75" customHeight="1"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 spans="2:27" ht="15.75" customHeight="1"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 spans="2:27" ht="15.75" customHeight="1"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 spans="2:27" ht="15.75" customHeight="1"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 spans="2:27" ht="15.75" customHeight="1"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 spans="2:27" ht="15.75" customHeight="1"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 spans="2:27" ht="15.75" customHeight="1"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 spans="2:27" ht="15.75" customHeight="1"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 spans="2:27" ht="15.75" customHeight="1"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 spans="2:27" ht="15.75" customHeight="1"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 spans="2:27" ht="15.75" customHeight="1"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 spans="2:27" ht="15.75" customHeight="1"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 spans="2:27" ht="15.75" customHeight="1"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 spans="2:27" ht="15.75" customHeight="1"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 spans="2:27" ht="15.75" customHeight="1"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 spans="2:27" ht="15.75" customHeight="1"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 spans="2:27" ht="15.75" customHeight="1"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 spans="2:27" ht="15.75" customHeight="1"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 spans="2:27" ht="15.75" customHeight="1"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 spans="2:27" ht="15.75" customHeight="1"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 spans="2:27" ht="15.75" customHeight="1"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 spans="2:27" ht="15.75" customHeight="1"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 spans="2:27" ht="15.75" customHeight="1"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 spans="2:27" ht="15.75" customHeight="1"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 spans="2:27" ht="15.75" customHeight="1"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 spans="2:27" ht="15.75" customHeight="1"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 spans="2:27" ht="15.75" customHeight="1"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 spans="2:27" ht="15.75" customHeight="1"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 spans="2:27" ht="15.75" customHeight="1"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 spans="2:27" ht="15.75" customHeight="1"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 spans="2:27" ht="15.75" customHeight="1"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 spans="2:27" ht="15.75" customHeight="1"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 spans="2:27" ht="15.75" customHeight="1"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 spans="2:27" ht="15.75" customHeight="1"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 spans="2:27" ht="15.75" customHeight="1"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 spans="2:27" ht="15.75" customHeight="1"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 spans="2:27" ht="15.75" customHeight="1"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 spans="2:27" ht="15.75" customHeight="1"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 spans="2:27" ht="15.75" customHeight="1"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 spans="2:27" ht="15.75" customHeight="1"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 spans="2:27" ht="15.75" customHeight="1"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 spans="2:27" ht="15.75" customHeight="1"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 spans="2:27" ht="15.75" customHeight="1"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 spans="2:27" ht="15.75" customHeight="1"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 spans="2:27" ht="15.75" customHeight="1"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 spans="2:27" ht="15.75" customHeight="1"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 spans="2:27" ht="15.75" customHeight="1"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 spans="2:27" ht="15.75" customHeight="1"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 spans="2:27" ht="15.75" customHeight="1"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 spans="2:27" ht="15.75" customHeight="1"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 spans="2:27" ht="15.75" customHeight="1"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 spans="2:27" ht="15.75" customHeight="1"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 spans="2:27" ht="15.75" customHeight="1"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 spans="2:27" ht="15.75" customHeight="1"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 spans="2:27" ht="15.75" customHeight="1"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 spans="2:27" ht="15.75" customHeight="1"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 spans="2:27" ht="15.75" customHeight="1"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 spans="2:27" ht="15.75" customHeight="1"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 spans="2:27" ht="15.75" customHeight="1"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 spans="2:27" ht="15.75" customHeight="1"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 spans="2:27" ht="15.75" customHeight="1"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 spans="2:27" ht="15.75" customHeight="1"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 spans="2:27" ht="15.75" customHeight="1"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 spans="2:27" ht="15.75" customHeight="1"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 spans="2:27" ht="15.75" customHeight="1"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 spans="2:27" ht="15.75" customHeight="1"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 spans="2:27" ht="15.75" customHeight="1"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 spans="2:27" ht="15.75" customHeight="1"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 spans="2:27" ht="15.75" customHeight="1"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 spans="2:27" ht="15.75" customHeight="1"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 spans="2:27" ht="15.75" customHeight="1"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 spans="2:27" ht="15.75" customHeight="1"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 spans="2:27" ht="15.75" customHeight="1"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 spans="2:27" ht="15.75" customHeight="1"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 spans="2:27" ht="15.75" customHeight="1"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 spans="2:27" ht="15.75" customHeight="1"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 spans="2:27" ht="15.75" customHeight="1"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 spans="2:27" ht="15.75" customHeight="1"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 spans="2:27" ht="15.75" customHeight="1"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 spans="2:27" ht="15.75" customHeight="1"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 spans="2:27" ht="15.75" customHeight="1"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 spans="2:27" ht="15.75" customHeight="1"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 spans="2:27" ht="15.75" customHeight="1"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 spans="2:27" ht="15.75" customHeight="1"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 spans="2:27" ht="15.75" customHeight="1"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 spans="2:27" ht="15.75" customHeight="1"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 spans="2:27" ht="15.75" customHeight="1"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 spans="2:27" ht="15.75" customHeight="1"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 spans="2:27" ht="15.75" customHeight="1"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 spans="2:27" ht="15.75" customHeight="1"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 spans="2:27" ht="15.75" customHeight="1"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 spans="2:27" ht="15.75" customHeight="1"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 spans="2:27" ht="15.75" customHeight="1"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 spans="2:27" ht="15.75" customHeight="1"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 spans="2:27" ht="15.75" customHeight="1"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 spans="2:27" ht="15.75" customHeight="1"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 spans="2:27" ht="15.75" customHeight="1"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 spans="2:27" ht="15.75" customHeight="1"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 spans="2:27" ht="15.75" customHeight="1"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 spans="2:27" ht="15.75" customHeight="1"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 spans="2:27" ht="15.75" customHeight="1"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 spans="2:27" ht="15.75" customHeight="1"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 spans="2:27" ht="15.75" customHeight="1"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 spans="2:27" ht="15.75" customHeight="1"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 spans="2:27" ht="15.75" customHeight="1"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 spans="2:27" ht="15.75" customHeight="1"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 spans="2:27" ht="15.75" customHeight="1"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 spans="2:27" ht="15.75" customHeight="1"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 spans="2:27" ht="15.75" customHeight="1"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 spans="2:27" ht="15.75" customHeight="1"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 spans="2:27" ht="15.75" customHeight="1"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 spans="2:27" ht="15.75" customHeight="1"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 spans="2:27" ht="15.75" customHeight="1"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 spans="2:27" ht="15.75" customHeight="1"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 spans="2:27" ht="15.75" customHeight="1"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 spans="2:27" ht="15.75" customHeight="1"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 spans="2:27" ht="15.75" customHeight="1"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 spans="2:27" ht="15.75" customHeight="1"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 spans="2:27" ht="15.75" customHeight="1"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 spans="2:27" ht="15.75" customHeight="1"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 spans="2:27" ht="15.75" customHeight="1"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 spans="2:27" ht="15.75" customHeight="1"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 spans="2:27" ht="15.75" customHeight="1"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 spans="2:27" ht="15.75" customHeight="1"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 spans="2:27" ht="15.75" customHeight="1"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 spans="2:27" ht="15.75" customHeight="1"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 spans="2:27" ht="15.75" customHeight="1"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 spans="2:27" ht="15.75" customHeight="1"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 spans="2:27" ht="15.75" customHeight="1"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 spans="2:27" ht="15.75" customHeight="1"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 spans="2:27" ht="15.75" customHeight="1"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 spans="2:27" ht="15.75" customHeight="1"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 spans="2:27" ht="15.75" customHeight="1"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 spans="2:27" ht="15.75" customHeight="1"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 spans="2:27" ht="15.75" customHeight="1"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 spans="2:27" ht="15.75" customHeight="1"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 spans="2:27" ht="15.75" customHeight="1"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 spans="2:27" ht="15.75" customHeight="1"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 spans="2:27" ht="15.75" customHeight="1"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 spans="2:27" ht="15.75" customHeight="1"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 spans="2:27" ht="15.75" customHeight="1"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 spans="2:27" ht="15.75" customHeight="1"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 spans="2:27" ht="15.75" customHeight="1"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 spans="2:27" ht="15.75" customHeight="1"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 spans="2:27" ht="15.75" customHeight="1"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 spans="2:27" ht="15.75" customHeight="1"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 spans="2:27" ht="15.75" customHeight="1"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 spans="2:27" ht="15.75" customHeight="1"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 spans="2:27" ht="15.75" customHeight="1"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 spans="2:27" ht="15.75" customHeight="1"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 spans="2:27" ht="15.75" customHeight="1"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 spans="2:27" ht="15.75" customHeight="1"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 spans="2:27" ht="15.75" customHeight="1"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 spans="2:27" ht="15.75" customHeight="1"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 spans="2:27" ht="15.75" customHeight="1"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 spans="2:27" ht="15.75" customHeight="1"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 spans="2:27" ht="15.75" customHeight="1"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 spans="2:27" ht="15.75" customHeight="1"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 spans="2:27" ht="15.75" customHeight="1"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 spans="2:27" ht="15.75" customHeight="1"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 spans="2:27" ht="15.75" customHeight="1"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 spans="2:27" ht="15.75" customHeight="1"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 spans="2:27" ht="15.75" customHeight="1"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 spans="2:27" ht="15.75" customHeight="1"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 spans="2:27" ht="15.75" customHeight="1"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 spans="2:27" ht="15.75" customHeight="1"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 spans="2:27" ht="15.75" customHeight="1"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 spans="2:27" ht="15.75" customHeight="1"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 spans="2:27" ht="15.75" customHeight="1"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 spans="2:27" ht="15.75" customHeight="1"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 spans="2:27" ht="15.75" customHeight="1"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 spans="2:27" ht="15.75" customHeight="1"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 spans="2:27" ht="15.75" customHeight="1"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 spans="2:27" ht="15.75" customHeight="1"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 spans="2:27" ht="15.75" customHeight="1"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 spans="2:27" ht="15.75" customHeight="1"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 spans="2:27" ht="15.75" customHeight="1"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 spans="2:27" ht="15.75" customHeight="1"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 spans="2:27" ht="15.75" customHeight="1"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 spans="2:27" ht="15.75" customHeight="1"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 spans="2:27" ht="15.75" customHeight="1"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 spans="2:27" ht="15.75" customHeight="1"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 spans="2:27" ht="15.75" customHeight="1"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 spans="2:27" ht="15.75" customHeight="1"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 spans="2:27" ht="15.75" customHeight="1"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 spans="2:27" ht="15.75" customHeight="1"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 spans="2:27" ht="15.75" customHeight="1"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 spans="2:27" ht="15.75" customHeight="1"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 spans="2:27" ht="15.75" customHeight="1"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 spans="2:27" ht="15.75" customHeight="1"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 spans="2:27" ht="15.75" customHeight="1"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 spans="2:27" ht="15.75" customHeight="1"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 spans="2:27" ht="15.75" customHeight="1"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 spans="2:27" ht="15.75" customHeight="1"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 spans="2:27" ht="15.75" customHeight="1"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 spans="2:27" ht="15.75" customHeight="1"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 spans="2:27" ht="15.75" customHeight="1"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 spans="2:27" ht="15.75" customHeight="1"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 spans="2:27" ht="15.75" customHeight="1"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 spans="2:27" ht="15.75" customHeight="1"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 spans="2:27" ht="15.75" customHeight="1"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 spans="2:27" ht="15.75" customHeight="1"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 spans="2:27" ht="15.75" customHeight="1"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 spans="2:27" ht="15.75" customHeight="1"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 spans="2:27" ht="15.75" customHeight="1"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 spans="2:27" ht="15.75" customHeight="1"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 spans="2:27" ht="15.75" customHeight="1"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 spans="2:27" ht="15.75" customHeight="1"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 spans="2:27" ht="15.75" customHeight="1"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 spans="2:27" ht="15.75" customHeight="1"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 spans="2:27" ht="15.75" customHeight="1"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 spans="2:27" ht="15.75" customHeight="1"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 spans="2:27" ht="15.75" customHeight="1"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 spans="2:27" ht="15.75" customHeight="1"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 spans="2:27" ht="15.75" customHeight="1"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 spans="2:27" ht="15.75" customHeight="1"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 spans="2:27" ht="15.75" customHeight="1"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 spans="2:27" ht="15.75" customHeight="1"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 spans="2:27" ht="15.75" customHeight="1"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 spans="2:27" ht="15.75" customHeight="1"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 spans="2:27" ht="15.75" customHeight="1"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 spans="2:27" ht="15.75" customHeight="1"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 spans="2:27" ht="15.75" customHeight="1"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 spans="2:27" ht="15.75" customHeight="1"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 spans="2:27" ht="15.75" customHeight="1"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 spans="2:27" ht="15.75" customHeight="1"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 spans="2:27" ht="15.75" customHeight="1"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 spans="2:27" ht="15.75" customHeight="1"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 spans="2:27" ht="15.75" customHeight="1"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 spans="2:27" ht="15.75" customHeight="1"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 spans="2:27" ht="15.75" customHeight="1"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 spans="2:27" ht="15.75" customHeight="1"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 spans="2:27" ht="15.75" customHeight="1"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 spans="2:27" ht="15.75" customHeight="1"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 spans="2:27" ht="15.75" customHeight="1"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 spans="2:27" ht="15.75" customHeight="1"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 spans="2:27" ht="15.75" customHeight="1"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 spans="2:27" ht="15.75" customHeight="1"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 spans="2:27" ht="15.75" customHeight="1"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 spans="2:27" ht="15.75" customHeight="1"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 spans="2:27" ht="15.75" customHeight="1"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 spans="2:27" ht="15.75" customHeight="1"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 spans="2:27" ht="15.75" customHeight="1"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 spans="2:27" ht="15.75" customHeight="1"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 spans="2:27" ht="15.75" customHeight="1"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 spans="2:27" ht="15.75" customHeight="1"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 spans="2:27" ht="15.75" customHeight="1"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 spans="2:27" ht="15.75" customHeight="1"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 spans="2:27" ht="15.75" customHeight="1"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 spans="2:27" ht="15.75" customHeight="1"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 spans="2:27" ht="15.75" customHeight="1"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 spans="2:27" ht="15.75" customHeight="1"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 spans="2:27" ht="15.75" customHeight="1"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 spans="2:27" ht="15.75" customHeight="1"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 spans="2:27" ht="15.75" customHeight="1"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 spans="2:27" ht="15.75" customHeight="1"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 spans="2:27" ht="15.75" customHeight="1"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 spans="2:27" ht="15.75" customHeight="1"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 spans="2:27" ht="15.75" customHeight="1"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 spans="2:27" ht="15.75" customHeight="1"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 spans="2:27" ht="15.75" customHeight="1"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 spans="2:27" ht="15.75" customHeight="1"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 spans="2:27" ht="15.75" customHeight="1"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 spans="2:27" ht="15.75" customHeight="1"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 spans="2:27" ht="15.75" customHeight="1"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 spans="2:27" ht="15.75" customHeight="1"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 spans="2:27" ht="15.75" customHeight="1"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 spans="2:27" ht="15.75" customHeight="1"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 spans="2:27" ht="15.75" customHeight="1"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 spans="2:27" ht="15.75" customHeight="1"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 spans="2:27" ht="15.75" customHeight="1"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 spans="2:27" ht="15.75" customHeight="1"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 spans="2:27" ht="15.75" customHeight="1"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 spans="2:27" ht="15.75" customHeight="1"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 spans="2:27" ht="15.75" customHeight="1"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 spans="2:27" ht="15.75" customHeight="1"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 spans="2:27" ht="15.75" customHeight="1"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 spans="2:27" ht="15.75" customHeight="1"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 spans="2:27" ht="15.75" customHeight="1"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 spans="2:27" ht="15.75" customHeight="1"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 spans="2:27" ht="15.75" customHeight="1"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 spans="2:27" ht="15.75" customHeight="1"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 spans="2:27" ht="15.75" customHeight="1"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 spans="2:27" ht="15.75" customHeight="1"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 spans="2:27" ht="15.75" customHeight="1"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 spans="2:27" ht="15.75" customHeight="1"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 spans="2:27" ht="15.75" customHeight="1"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 spans="2:27" ht="15.75" customHeight="1"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 spans="2:27" ht="15.75" customHeight="1"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 spans="2:27" ht="15.75" customHeight="1"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 spans="2:27" ht="15.75" customHeight="1"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 spans="2:27" ht="15.75" customHeight="1"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 spans="2:27" ht="15.75" customHeight="1"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 spans="2:27" ht="15.75" customHeight="1"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 spans="2:27" ht="15.75" customHeight="1"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 spans="2:27" ht="15.75" customHeight="1"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 spans="2:27" ht="15.75" customHeight="1"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 spans="2:27" ht="15.75" customHeight="1"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 spans="2:27" ht="15.75" customHeight="1"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 spans="2:27" ht="15.75" customHeight="1"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 spans="2:27" ht="15.75" customHeight="1"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 spans="2:27" ht="15.75" customHeight="1"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 spans="2:27" ht="15.75" customHeight="1"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 spans="2:27" ht="15.75" customHeight="1"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 spans="2:27" ht="15.75" customHeight="1"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 spans="2:27" ht="15.75" customHeight="1"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 spans="2:27" ht="15.75" customHeight="1"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 spans="2:27" ht="15.75" customHeight="1"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 spans="2:27" ht="15.75" customHeight="1"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 spans="2:27" ht="15.75" customHeight="1"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 spans="2:27" ht="15.75" customHeight="1"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 spans="2:27" ht="15.75" customHeight="1"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 spans="2:27" ht="15.75" customHeight="1"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 spans="2:27" ht="15.75" customHeight="1"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 spans="2:27" ht="15.75" customHeight="1"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 spans="2:27" ht="15.75" customHeight="1"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 spans="2:27" ht="15.75" customHeight="1"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 spans="2:27" ht="15.75" customHeight="1"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 spans="2:27" ht="15.75" customHeight="1"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 spans="2:27" ht="15.75" customHeight="1"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 spans="2:27" ht="15.75" customHeight="1"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 spans="2:27" ht="15.75" customHeight="1"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 spans="2:27" ht="15.75" customHeight="1"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 spans="2:27" ht="15.75" customHeight="1"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 spans="2:27" ht="15.75" customHeight="1"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 spans="2:27" ht="15.75" customHeight="1"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 spans="2:27" ht="15.75" customHeight="1"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 spans="2:27" ht="15.75" customHeight="1"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 spans="2:27" ht="15.75" customHeight="1"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 spans="2:27" ht="15.75" customHeight="1"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 spans="2:27" ht="15.75" customHeight="1"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 spans="2:27" ht="15.75" customHeight="1"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 spans="2:27" ht="15.75" customHeight="1"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 spans="2:27" ht="15.75" customHeight="1"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 spans="2:27" ht="15.75" customHeight="1"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 spans="2:27" ht="15.75" customHeight="1"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 spans="2:27" ht="15.75" customHeight="1"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 spans="2:27" ht="15.75" customHeight="1"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 spans="2:27" ht="15.75" customHeight="1"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 spans="2:27" ht="15.75" customHeight="1"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 spans="2:27" ht="15.75" customHeight="1"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 spans="2:27" ht="15.75" customHeight="1"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 spans="2:27" ht="15.75" customHeight="1"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 spans="2:27" ht="15.75" customHeight="1"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 spans="2:27" ht="15.75" customHeight="1"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 spans="2:27" ht="15.75" customHeight="1"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 spans="2:27" ht="15.75" customHeight="1"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 spans="2:27" ht="15.75" customHeight="1"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 spans="2:27" ht="15.75" customHeight="1"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 spans="2:27" ht="15.75" customHeight="1"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 spans="2:27" ht="15.75" customHeight="1"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 spans="2:27" ht="15.75" customHeight="1"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 spans="2:27" ht="15.75" customHeight="1"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 spans="2:27" ht="15.75" customHeight="1"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 spans="2:27" ht="15.75" customHeight="1"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 spans="2:27" ht="15.75" customHeight="1"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 spans="2:27" ht="15.75" customHeight="1"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 spans="2:27" ht="15.75" customHeight="1"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 spans="2:27" ht="15.75" customHeight="1"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 spans="2:27" ht="15.75" customHeight="1"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 spans="2:27" ht="15.75" customHeight="1"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 spans="2:27" ht="15.75" customHeight="1"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 spans="2:27" ht="15.75" customHeight="1"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 spans="2:27" ht="15.75" customHeight="1"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 spans="2:27" ht="15.75" customHeight="1"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 spans="2:27" ht="15.75" customHeight="1"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 spans="2:27" ht="15.75" customHeight="1"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 spans="2:27" ht="15.75" customHeight="1"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 spans="2:27" ht="15.75" customHeight="1"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 spans="2:27" ht="15.75" customHeight="1"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 spans="2:27" ht="15.75" customHeight="1"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 spans="2:27" ht="15.75" customHeight="1"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 spans="2:27" ht="15.75" customHeight="1"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 spans="2:27" ht="15.75" customHeight="1"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 spans="2:27" ht="15.75" customHeight="1"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 spans="2:27" ht="15.75" customHeight="1"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 spans="2:27" ht="15.75" customHeight="1"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 spans="2:27" ht="15.75" customHeight="1"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 spans="2:27" ht="15.75" customHeight="1"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 spans="2:27" ht="15.75" customHeight="1"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 spans="2:27" ht="15.75" customHeight="1"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 spans="2:27" ht="15.75" customHeight="1"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 spans="2:27" ht="15.75" customHeight="1"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 spans="2:27" ht="15.75" customHeight="1"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 spans="2:27" ht="15.75" customHeight="1"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 spans="2:27" ht="15.75" customHeight="1"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 spans="2:27" ht="15.75" customHeight="1"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 spans="2:27" ht="15.75" customHeight="1"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 spans="2:27" ht="15.75" customHeight="1"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 spans="2:27" ht="15.75" customHeight="1"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 spans="2:27" ht="15.75" customHeight="1"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 spans="2:27" ht="15.75" customHeight="1"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 spans="2:27" ht="15.75" customHeight="1"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 spans="2:27" ht="15.75" customHeight="1"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 spans="2:27" ht="15.75" customHeight="1"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 spans="2:27" ht="15.75" customHeight="1"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 spans="2:27" ht="15.75" customHeight="1"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 spans="2:27" ht="15.75" customHeight="1"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 spans="2:27" ht="15.75" customHeight="1"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 spans="2:27" ht="15.75" customHeight="1"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 spans="2:27" ht="15.75" customHeight="1"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 spans="2:27" ht="15.75" customHeight="1"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 spans="2:27" ht="15.75" customHeight="1"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 spans="2:27" ht="15.75" customHeight="1"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 spans="2:27" ht="15.75" customHeight="1"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 spans="2:27" ht="15.75" customHeight="1"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 spans="2:27" ht="15.75" customHeight="1"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 spans="2:27" ht="15.75" customHeight="1"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 spans="2:27" ht="15.75" customHeight="1"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 spans="2:27" ht="15.75" customHeight="1"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 spans="2:27" ht="15.75" customHeight="1"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 spans="2:27" ht="15.75" customHeight="1"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 spans="2:27" ht="15.75" customHeight="1"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 spans="2:27" ht="15.75" customHeight="1"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 spans="2:27" ht="15.75" customHeight="1"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 spans="2:27" ht="15.75" customHeight="1"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 spans="2:27" ht="15.75" customHeight="1"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 spans="2:27" ht="15.75" customHeight="1"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 spans="2:27" ht="15.75" customHeight="1"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 spans="2:27" ht="15.75" customHeight="1"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 spans="2:27" ht="15.75" customHeight="1"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 spans="2:27" ht="15.75" customHeight="1"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 spans="2:27" ht="15.75" customHeight="1"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 spans="2:27" ht="15.75" customHeight="1"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 spans="2:27" ht="15.75" customHeight="1"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 spans="2:27" ht="15.75" customHeight="1"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 spans="2:27" ht="15.75" customHeight="1"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 spans="2:27" ht="15.75" customHeight="1"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 spans="2:27" ht="15.75" customHeight="1"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 spans="2:27" ht="15.75" customHeight="1"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 spans="2:27" ht="15.75" customHeight="1"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 spans="2:27" ht="15.75" customHeight="1"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 spans="2:27" ht="15.75" customHeight="1"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 spans="2:27" ht="15.75" customHeight="1"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 spans="2:27" ht="15.75" customHeight="1"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 spans="2:27" ht="15.75" customHeight="1"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 spans="2:27" ht="15.75" customHeight="1"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 spans="2:27" ht="15.75" customHeight="1"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 spans="2:27" ht="15.75" customHeight="1"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 spans="2:27" ht="15.75" customHeight="1"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 spans="2:27" ht="15.75" customHeight="1"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 spans="2:27" ht="15.75" customHeight="1"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 spans="2:27" ht="15.75" customHeight="1"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 spans="2:27" ht="15.75" customHeight="1"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 spans="2:27" ht="15.75" customHeight="1"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 spans="2:27" ht="15.75" customHeight="1"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 spans="2:27" ht="15.75" customHeight="1"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 spans="2:27" ht="15.75" customHeight="1"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 spans="2:27" ht="15.75" customHeight="1"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 spans="2:27" ht="15.75" customHeight="1"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 spans="2:27" ht="15.75" customHeight="1"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 spans="2:27" ht="15.75" customHeight="1"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 spans="2:27" ht="15.75" customHeight="1"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 spans="2:27" ht="15.75" customHeight="1"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 spans="2:27" ht="15.75" customHeight="1"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 spans="2:27" ht="15.75" customHeight="1"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 spans="2:27" ht="15.75" customHeight="1"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 spans="2:27" ht="15.75" customHeight="1"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 spans="2:27" ht="15.75" customHeight="1"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 spans="2:27" ht="15.75" customHeight="1"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 spans="2:27" ht="15.75" customHeight="1"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 spans="2:27" ht="15.75" customHeight="1"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 spans="2:27" ht="15.75" customHeight="1"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 spans="2:27" ht="15.75" customHeight="1"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 spans="2:27" ht="15.75" customHeight="1"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 spans="2:27" ht="15.75" customHeight="1"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 spans="2:27" ht="15.75" customHeight="1"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 spans="2:27" ht="15.75" customHeight="1"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 spans="2:27" ht="15.75" customHeight="1"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 spans="2:27" ht="15.75" customHeight="1"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 spans="2:27" ht="15.75" customHeight="1"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 spans="2:27" ht="15.75" customHeight="1"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 spans="2:27" ht="15.75" customHeight="1"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 spans="2:27" ht="15.75" customHeight="1"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 spans="2:27" ht="15.75" customHeight="1"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 spans="2:27" ht="15.75" customHeight="1"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 spans="2:27" ht="15.75" customHeight="1"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 spans="2:27" ht="15.75" customHeight="1"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 spans="2:27" ht="15.75" customHeight="1"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 spans="2:27" ht="15.75" customHeight="1"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 spans="2:27" ht="15.75" customHeight="1"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 spans="2:27" ht="15.75" customHeight="1"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 spans="3:27" ht="15.75" customHeight="1"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 spans="3:27" ht="15.75" customHeight="1"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</sheetData>
  <sheetProtection selectLockedCells="1"/>
  <mergeCells count="8">
    <mergeCell ref="N2:N29"/>
    <mergeCell ref="A1:N1"/>
    <mergeCell ref="I12:M12"/>
    <mergeCell ref="D12:H12"/>
    <mergeCell ref="B20:B21"/>
    <mergeCell ref="B22:B23"/>
    <mergeCell ref="A2:A29"/>
    <mergeCell ref="B29:M2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opLeftCell="A10" zoomScale="158" zoomScaleNormal="100" workbookViewId="0">
      <selection activeCell="C7" sqref="C7"/>
    </sheetView>
  </sheetViews>
  <sheetFormatPr defaultColWidth="11" defaultRowHeight="14.25"/>
  <cols>
    <col min="1" max="1" width="18.625" bestFit="1" customWidth="1"/>
    <col min="2" max="2" width="18.625" customWidth="1"/>
    <col min="3" max="3" width="54.625" bestFit="1" customWidth="1"/>
  </cols>
  <sheetData>
    <row r="1" spans="1:3" ht="15">
      <c r="A1" s="65" t="s">
        <v>63</v>
      </c>
      <c r="B1" s="68"/>
      <c r="C1" s="67" t="s">
        <v>65</v>
      </c>
    </row>
    <row r="2" spans="1:3" ht="15">
      <c r="A2" s="64" t="s">
        <v>62</v>
      </c>
      <c r="B2" s="68"/>
      <c r="C2" s="67" t="s">
        <v>66</v>
      </c>
    </row>
    <row r="3" spans="1:3" ht="15">
      <c r="A3" s="65" t="s">
        <v>63</v>
      </c>
      <c r="B3" s="68" t="s">
        <v>67</v>
      </c>
    </row>
    <row r="4" spans="1:3" ht="15">
      <c r="A4" s="66" t="s">
        <v>64</v>
      </c>
      <c r="B4" s="68"/>
    </row>
    <row r="5" spans="1:3" ht="15">
      <c r="A5" s="65" t="s">
        <v>63</v>
      </c>
      <c r="B5" s="68"/>
    </row>
    <row r="6" spans="1:3" ht="15">
      <c r="A6" s="66" t="s">
        <v>64</v>
      </c>
      <c r="B6" s="68"/>
    </row>
    <row r="7" spans="1:3" ht="15">
      <c r="A7" s="65" t="s">
        <v>63</v>
      </c>
      <c r="B7" s="68"/>
    </row>
    <row r="8" spans="1:3" ht="15">
      <c r="A8" s="64" t="s">
        <v>62</v>
      </c>
      <c r="B8" s="68"/>
    </row>
    <row r="9" spans="1:3" ht="15">
      <c r="A9" s="65" t="s">
        <v>63</v>
      </c>
      <c r="B9" s="68"/>
    </row>
    <row r="10" spans="1:3" ht="15">
      <c r="A10" s="66" t="s">
        <v>64</v>
      </c>
      <c r="B10" s="68"/>
    </row>
    <row r="11" spans="1:3" ht="15">
      <c r="A11" s="64" t="s">
        <v>62</v>
      </c>
      <c r="B11" s="68"/>
    </row>
    <row r="12" spans="1:3" ht="15">
      <c r="A12" s="65" t="s">
        <v>63</v>
      </c>
      <c r="B12" s="68"/>
    </row>
    <row r="13" spans="1:3" ht="15">
      <c r="A13" s="64" t="s">
        <v>62</v>
      </c>
      <c r="B13" s="68"/>
    </row>
    <row r="14" spans="1:3" ht="15">
      <c r="A14" s="65" t="s">
        <v>63</v>
      </c>
      <c r="B14" s="68"/>
    </row>
    <row r="15" spans="1:3" ht="15">
      <c r="A15" s="66" t="s">
        <v>64</v>
      </c>
      <c r="B15" s="68"/>
    </row>
    <row r="16" spans="1:3" ht="15">
      <c r="A16" s="65" t="s">
        <v>63</v>
      </c>
      <c r="B16" s="68"/>
    </row>
    <row r="17" spans="1:2" ht="15">
      <c r="A17" s="64" t="s">
        <v>62</v>
      </c>
      <c r="B17" s="68"/>
    </row>
    <row r="18" spans="1:2" ht="15">
      <c r="A18" s="65" t="s">
        <v>63</v>
      </c>
      <c r="B18" s="68"/>
    </row>
    <row r="19" spans="1:2" ht="15">
      <c r="A19" s="64" t="s">
        <v>62</v>
      </c>
      <c r="B19" s="68"/>
    </row>
    <row r="20" spans="1:2" ht="15">
      <c r="A20" s="65" t="s">
        <v>63</v>
      </c>
      <c r="B20" s="68"/>
    </row>
    <row r="21" spans="1:2" ht="15">
      <c r="A21" s="66" t="s">
        <v>64</v>
      </c>
      <c r="B21" s="68"/>
    </row>
    <row r="22" spans="1:2" ht="15">
      <c r="A22" s="65" t="s">
        <v>63</v>
      </c>
      <c r="B22" s="68"/>
    </row>
    <row r="23" spans="1:2" ht="15">
      <c r="A23" s="64" t="s">
        <v>62</v>
      </c>
      <c r="B23" s="68"/>
    </row>
    <row r="24" spans="1:2" ht="15">
      <c r="A24" s="66" t="s">
        <v>64</v>
      </c>
      <c r="B24" s="68"/>
    </row>
    <row r="25" spans="1:2" ht="15">
      <c r="A25" s="64" t="s">
        <v>62</v>
      </c>
      <c r="B25" s="68"/>
    </row>
    <row r="26" spans="1:2" ht="15">
      <c r="A26" s="65" t="s">
        <v>63</v>
      </c>
      <c r="B26" s="68"/>
    </row>
    <row r="27" spans="1:2" ht="15">
      <c r="A27" s="66" t="s">
        <v>64</v>
      </c>
      <c r="B27" s="68"/>
    </row>
    <row r="28" spans="1:2" ht="15">
      <c r="A28" s="65" t="s">
        <v>63</v>
      </c>
      <c r="B28" s="68"/>
    </row>
    <row r="29" spans="1:2" ht="15">
      <c r="A29" s="64" t="s">
        <v>62</v>
      </c>
      <c r="B29" s="68"/>
    </row>
    <row r="30" spans="1:2" ht="15">
      <c r="A30" s="65" t="s">
        <v>63</v>
      </c>
      <c r="B30" s="6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workbookViewId="0">
      <selection activeCell="E31" sqref="E31"/>
    </sheetView>
  </sheetViews>
  <sheetFormatPr defaultColWidth="12.625" defaultRowHeight="15" customHeight="1"/>
  <cols>
    <col min="1" max="1" width="26.125" customWidth="1"/>
    <col min="2" max="2" width="6.375" customWidth="1"/>
    <col min="3" max="3" width="17.625" customWidth="1"/>
    <col min="4" max="4" width="20.5" customWidth="1"/>
    <col min="5" max="5" width="14.625" customWidth="1"/>
    <col min="6" max="6" width="19.5" customWidth="1"/>
    <col min="7" max="7" width="20.5" customWidth="1"/>
    <col min="8" max="8" width="19.375" customWidth="1"/>
    <col min="9" max="9" width="15" customWidth="1"/>
    <col min="10" max="10" width="12.125" customWidth="1"/>
    <col min="11" max="11" width="20.375" customWidth="1"/>
    <col min="12" max="12" width="12" customWidth="1"/>
    <col min="13" max="26" width="7.625" customWidth="1"/>
  </cols>
  <sheetData>
    <row r="1" spans="1:26" ht="15.75">
      <c r="A1" s="10" t="s">
        <v>13</v>
      </c>
      <c r="B1" s="11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>
      <c r="A2" s="14" t="s">
        <v>22</v>
      </c>
      <c r="B2" s="22">
        <v>0.3125</v>
      </c>
      <c r="C2" s="56" t="s">
        <v>42</v>
      </c>
      <c r="D2" s="56" t="s">
        <v>26</v>
      </c>
      <c r="E2" s="56" t="s">
        <v>43</v>
      </c>
      <c r="F2" s="56" t="s">
        <v>44</v>
      </c>
      <c r="G2" s="56" t="s">
        <v>43</v>
      </c>
      <c r="H2" s="15" t="s">
        <v>45</v>
      </c>
      <c r="I2" s="15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>
      <c r="A3" s="14" t="s">
        <v>46</v>
      </c>
      <c r="B3" s="22">
        <v>0.35416666666666669</v>
      </c>
      <c r="C3" s="56" t="s">
        <v>47</v>
      </c>
      <c r="D3" s="57" t="s">
        <v>48</v>
      </c>
      <c r="E3" s="57" t="s">
        <v>23</v>
      </c>
      <c r="F3" s="57" t="s">
        <v>49</v>
      </c>
      <c r="G3" s="56" t="s">
        <v>50</v>
      </c>
      <c r="H3" s="17" t="s">
        <v>25</v>
      </c>
      <c r="I3" s="17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>
      <c r="A4" s="14" t="s">
        <v>51</v>
      </c>
      <c r="B4" s="22">
        <v>0.39583333333333331</v>
      </c>
      <c r="C4" s="57" t="s">
        <v>46</v>
      </c>
      <c r="D4" s="56" t="s">
        <v>52</v>
      </c>
      <c r="E4" s="56" t="s">
        <v>47</v>
      </c>
      <c r="F4" s="56" t="s">
        <v>52</v>
      </c>
      <c r="G4" s="56" t="s">
        <v>53</v>
      </c>
      <c r="H4" s="19"/>
      <c r="I4" s="19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>
      <c r="A5" s="14" t="s">
        <v>24</v>
      </c>
      <c r="B5" s="22">
        <v>0.4375</v>
      </c>
      <c r="C5" s="57" t="s">
        <v>24</v>
      </c>
      <c r="D5" s="57" t="s">
        <v>54</v>
      </c>
      <c r="E5" s="57" t="s">
        <v>22</v>
      </c>
      <c r="F5" s="57" t="s">
        <v>48</v>
      </c>
      <c r="G5" s="57" t="s">
        <v>22</v>
      </c>
      <c r="H5" s="19"/>
      <c r="I5" s="19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>
      <c r="A6" s="14" t="s">
        <v>23</v>
      </c>
      <c r="B6" s="18"/>
      <c r="C6" s="58" t="s">
        <v>55</v>
      </c>
      <c r="D6" s="20"/>
      <c r="E6" s="20"/>
      <c r="F6" s="20"/>
      <c r="G6" s="20" t="s">
        <v>55</v>
      </c>
      <c r="H6" s="20"/>
      <c r="I6" s="2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>
      <c r="A7" s="14" t="s">
        <v>48</v>
      </c>
      <c r="B7" s="22">
        <v>0.6875</v>
      </c>
      <c r="C7" s="57" t="s">
        <v>22</v>
      </c>
      <c r="D7" s="56" t="s">
        <v>44</v>
      </c>
      <c r="E7" s="57" t="s">
        <v>24</v>
      </c>
      <c r="F7" s="57" t="s">
        <v>54</v>
      </c>
      <c r="G7" s="56" t="s">
        <v>47</v>
      </c>
      <c r="H7" s="21"/>
      <c r="I7" s="2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>
      <c r="A8" s="14" t="s">
        <v>54</v>
      </c>
      <c r="B8" s="22">
        <v>0.72916666666666663</v>
      </c>
      <c r="C8" s="57" t="s">
        <v>23</v>
      </c>
      <c r="D8" s="57" t="s">
        <v>56</v>
      </c>
      <c r="E8" s="56" t="s">
        <v>53</v>
      </c>
      <c r="F8" s="56" t="s">
        <v>57</v>
      </c>
      <c r="G8" s="59" t="s">
        <v>58</v>
      </c>
      <c r="H8" s="24"/>
      <c r="I8" s="2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>
      <c r="A9" s="14" t="s">
        <v>49</v>
      </c>
      <c r="B9" s="22">
        <v>0.77083333333333337</v>
      </c>
      <c r="C9" s="23"/>
      <c r="D9" s="56" t="s">
        <v>50</v>
      </c>
      <c r="E9" s="57" t="s">
        <v>49</v>
      </c>
      <c r="F9" s="57" t="s">
        <v>58</v>
      </c>
      <c r="G9" s="57" t="s">
        <v>56</v>
      </c>
      <c r="H9" s="21"/>
      <c r="I9" s="2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>
      <c r="A10" s="16" t="s">
        <v>42</v>
      </c>
      <c r="B10" s="25"/>
      <c r="C10" s="26"/>
      <c r="D10" s="13"/>
      <c r="E10" s="13"/>
      <c r="F10" s="13"/>
      <c r="G10" s="26"/>
      <c r="H10" s="28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>
      <c r="A11" s="16" t="s">
        <v>26</v>
      </c>
      <c r="B11" s="25"/>
      <c r="C11" s="26"/>
      <c r="D11" s="27"/>
      <c r="E11" s="27"/>
      <c r="F11" s="29"/>
      <c r="G11" s="26"/>
      <c r="H11" s="28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>
      <c r="A12" s="13"/>
      <c r="B12" s="25"/>
      <c r="C12" s="26"/>
      <c r="D12" s="27"/>
      <c r="E12" s="28"/>
      <c r="F12" s="29"/>
      <c r="G12" s="26"/>
      <c r="H12" s="28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>
      <c r="A13" s="10" t="s">
        <v>27</v>
      </c>
      <c r="B13" s="25"/>
      <c r="C13" s="142" t="s">
        <v>28</v>
      </c>
      <c r="D13" s="125"/>
      <c r="E13" s="125"/>
      <c r="F13" s="126"/>
      <c r="G13" s="12"/>
      <c r="H13" s="12" t="s">
        <v>29</v>
      </c>
      <c r="I13" s="12"/>
      <c r="J13" s="12"/>
      <c r="K13" s="12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>
      <c r="A14" s="14" t="s">
        <v>58</v>
      </c>
      <c r="B14" s="25"/>
      <c r="C14" s="12" t="s">
        <v>30</v>
      </c>
      <c r="D14" s="30" t="s">
        <v>31</v>
      </c>
      <c r="E14" s="30" t="s">
        <v>32</v>
      </c>
      <c r="F14" s="30" t="s">
        <v>33</v>
      </c>
      <c r="G14" s="30" t="s">
        <v>34</v>
      </c>
      <c r="H14" s="31" t="s">
        <v>30</v>
      </c>
      <c r="I14" s="21" t="s">
        <v>31</v>
      </c>
      <c r="J14" s="21" t="s">
        <v>32</v>
      </c>
      <c r="K14" s="30" t="s">
        <v>33</v>
      </c>
      <c r="L14" s="21" t="s">
        <v>34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>
      <c r="A15" s="14" t="s">
        <v>56</v>
      </c>
      <c r="B15" s="25"/>
      <c r="C15" s="36" t="s">
        <v>22</v>
      </c>
      <c r="D15" s="35">
        <v>3</v>
      </c>
      <c r="E15" s="32">
        <f t="shared" ref="E15:E24" si="0">D15/D$31</f>
        <v>8.5714285714285715E-2</v>
      </c>
      <c r="F15" s="34">
        <v>15</v>
      </c>
      <c r="G15" s="33">
        <f t="shared" ref="G15:G24" si="1">F15/G$31</f>
        <v>0.1</v>
      </c>
      <c r="H15" s="24" t="s">
        <v>58</v>
      </c>
      <c r="I15" s="35">
        <v>2</v>
      </c>
      <c r="J15" s="32">
        <f t="shared" ref="J15:J23" si="2">I15/I$31</f>
        <v>5.7142857142857141E-2</v>
      </c>
      <c r="K15" s="34">
        <v>12</v>
      </c>
      <c r="L15" s="33">
        <f t="shared" ref="L15:L24" si="3">K15/G$31</f>
        <v>0.08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>
      <c r="A16" s="16" t="s">
        <v>53</v>
      </c>
      <c r="B16" s="25"/>
      <c r="C16" s="36" t="s">
        <v>46</v>
      </c>
      <c r="D16" s="35">
        <v>1</v>
      </c>
      <c r="E16" s="32">
        <f t="shared" si="0"/>
        <v>2.8571428571428571E-2</v>
      </c>
      <c r="F16" s="34">
        <v>5</v>
      </c>
      <c r="G16" s="33">
        <f t="shared" si="1"/>
        <v>3.3333333333333333E-2</v>
      </c>
      <c r="H16" s="24" t="s">
        <v>56</v>
      </c>
      <c r="I16" s="35">
        <v>2</v>
      </c>
      <c r="J16" s="32">
        <f t="shared" si="2"/>
        <v>5.7142857142857141E-2</v>
      </c>
      <c r="K16" s="34">
        <v>12</v>
      </c>
      <c r="L16" s="33">
        <f t="shared" si="3"/>
        <v>0.08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>
      <c r="A17" s="16" t="s">
        <v>52</v>
      </c>
      <c r="B17" s="25"/>
      <c r="C17" s="36" t="s">
        <v>51</v>
      </c>
      <c r="D17" s="35">
        <v>1</v>
      </c>
      <c r="E17" s="32">
        <f t="shared" si="0"/>
        <v>2.8571428571428571E-2</v>
      </c>
      <c r="F17" s="34">
        <v>5</v>
      </c>
      <c r="G17" s="33">
        <f t="shared" si="1"/>
        <v>3.3333333333333333E-2</v>
      </c>
      <c r="H17" s="24" t="s">
        <v>53</v>
      </c>
      <c r="I17" s="35">
        <v>2</v>
      </c>
      <c r="J17" s="32">
        <f t="shared" si="2"/>
        <v>5.7142857142857141E-2</v>
      </c>
      <c r="K17" s="34">
        <v>12</v>
      </c>
      <c r="L17" s="33">
        <f t="shared" si="3"/>
        <v>0.08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>
      <c r="A18" s="16" t="s">
        <v>57</v>
      </c>
      <c r="B18" s="25"/>
      <c r="C18" s="36" t="s">
        <v>24</v>
      </c>
      <c r="D18" s="35">
        <v>2</v>
      </c>
      <c r="E18" s="32">
        <f t="shared" si="0"/>
        <v>5.7142857142857141E-2</v>
      </c>
      <c r="F18" s="34">
        <v>7</v>
      </c>
      <c r="G18" s="33">
        <f t="shared" si="1"/>
        <v>4.6666666666666669E-2</v>
      </c>
      <c r="H18" s="24" t="s">
        <v>52</v>
      </c>
      <c r="I18" s="35">
        <v>2</v>
      </c>
      <c r="J18" s="32">
        <f t="shared" si="2"/>
        <v>5.7142857142857141E-2</v>
      </c>
      <c r="K18" s="34">
        <v>7</v>
      </c>
      <c r="L18" s="33">
        <f t="shared" si="3"/>
        <v>4.6666666666666669E-2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>
      <c r="A19" s="16" t="s">
        <v>50</v>
      </c>
      <c r="B19" s="25"/>
      <c r="C19" s="36" t="s">
        <v>23</v>
      </c>
      <c r="D19" s="35">
        <v>2</v>
      </c>
      <c r="E19" s="32">
        <f t="shared" si="0"/>
        <v>5.7142857142857141E-2</v>
      </c>
      <c r="F19" s="34">
        <v>6</v>
      </c>
      <c r="G19" s="33">
        <f t="shared" si="1"/>
        <v>0.04</v>
      </c>
      <c r="H19" s="24" t="s">
        <v>57</v>
      </c>
      <c r="I19" s="35">
        <v>1</v>
      </c>
      <c r="J19" s="32">
        <f t="shared" si="2"/>
        <v>2.8571428571428571E-2</v>
      </c>
      <c r="K19" s="34">
        <v>7</v>
      </c>
      <c r="L19" s="33">
        <f t="shared" si="3"/>
        <v>4.6666666666666669E-2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>
      <c r="A20" s="16" t="s">
        <v>47</v>
      </c>
      <c r="B20" s="25"/>
      <c r="C20" s="36" t="s">
        <v>48</v>
      </c>
      <c r="D20" s="35">
        <v>2</v>
      </c>
      <c r="E20" s="32">
        <f t="shared" si="0"/>
        <v>5.7142857142857141E-2</v>
      </c>
      <c r="F20" s="34">
        <v>7</v>
      </c>
      <c r="G20" s="33">
        <f t="shared" si="1"/>
        <v>4.6666666666666669E-2</v>
      </c>
      <c r="H20" s="24" t="s">
        <v>50</v>
      </c>
      <c r="I20" s="35">
        <v>2</v>
      </c>
      <c r="J20" s="32">
        <f t="shared" si="2"/>
        <v>5.7142857142857141E-2</v>
      </c>
      <c r="K20" s="34">
        <v>12</v>
      </c>
      <c r="L20" s="33">
        <f t="shared" si="3"/>
        <v>0.08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6" t="s">
        <v>43</v>
      </c>
      <c r="B21" s="25"/>
      <c r="C21" s="36" t="s">
        <v>54</v>
      </c>
      <c r="D21" s="35">
        <v>2</v>
      </c>
      <c r="E21" s="32">
        <f t="shared" si="0"/>
        <v>5.7142857142857141E-2</v>
      </c>
      <c r="F21" s="34">
        <v>7</v>
      </c>
      <c r="G21" s="33">
        <f t="shared" si="1"/>
        <v>4.6666666666666669E-2</v>
      </c>
      <c r="H21" s="24" t="s">
        <v>47</v>
      </c>
      <c r="I21" s="35">
        <v>3</v>
      </c>
      <c r="J21" s="32">
        <f t="shared" si="2"/>
        <v>8.5714285714285715E-2</v>
      </c>
      <c r="K21" s="34">
        <v>11</v>
      </c>
      <c r="L21" s="33">
        <f t="shared" si="3"/>
        <v>7.3333333333333334E-2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6" t="s">
        <v>44</v>
      </c>
      <c r="B22" s="25"/>
      <c r="C22" s="36" t="s">
        <v>49</v>
      </c>
      <c r="D22" s="35">
        <v>2</v>
      </c>
      <c r="E22" s="32">
        <f t="shared" si="0"/>
        <v>5.7142857142857141E-2</v>
      </c>
      <c r="F22" s="34">
        <v>7</v>
      </c>
      <c r="G22" s="33">
        <f t="shared" si="1"/>
        <v>4.6666666666666669E-2</v>
      </c>
      <c r="H22" s="24" t="s">
        <v>43</v>
      </c>
      <c r="I22" s="23">
        <v>2</v>
      </c>
      <c r="J22" s="32">
        <f t="shared" si="2"/>
        <v>5.7142857142857141E-2</v>
      </c>
      <c r="K22" s="34">
        <v>6</v>
      </c>
      <c r="L22" s="33">
        <f t="shared" si="3"/>
        <v>0.04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3"/>
      <c r="B23" s="25"/>
      <c r="C23" s="36" t="s">
        <v>42</v>
      </c>
      <c r="D23" s="35">
        <v>1</v>
      </c>
      <c r="E23" s="32">
        <f t="shared" si="0"/>
        <v>2.8571428571428571E-2</v>
      </c>
      <c r="F23" s="34">
        <v>3</v>
      </c>
      <c r="G23" s="33">
        <f t="shared" si="1"/>
        <v>0.02</v>
      </c>
      <c r="H23" s="24" t="s">
        <v>44</v>
      </c>
      <c r="I23" s="35">
        <v>2</v>
      </c>
      <c r="J23" s="32">
        <f t="shared" si="2"/>
        <v>5.7142857142857141E-2</v>
      </c>
      <c r="K23" s="34">
        <v>6</v>
      </c>
      <c r="L23" s="33">
        <f t="shared" si="3"/>
        <v>0.04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43" t="s">
        <v>35</v>
      </c>
      <c r="B24" s="25"/>
      <c r="C24" s="36" t="s">
        <v>26</v>
      </c>
      <c r="D24" s="37">
        <v>1</v>
      </c>
      <c r="E24" s="32">
        <f t="shared" si="0"/>
        <v>2.8571428571428571E-2</v>
      </c>
      <c r="F24" s="34">
        <v>3</v>
      </c>
      <c r="G24" s="33">
        <f t="shared" si="1"/>
        <v>0.02</v>
      </c>
      <c r="H24" s="31"/>
      <c r="I24" s="35"/>
      <c r="J24" s="30"/>
      <c r="K24" s="38"/>
      <c r="L24" s="33">
        <f t="shared" si="3"/>
        <v>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44"/>
      <c r="B25" s="25"/>
      <c r="C25" s="36"/>
      <c r="D25" s="37"/>
      <c r="E25" s="32"/>
      <c r="F25" s="34"/>
      <c r="G25" s="33"/>
      <c r="H25" s="31"/>
      <c r="I25" s="35"/>
      <c r="J25" s="30"/>
      <c r="K25" s="38"/>
      <c r="L25" s="3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45">
        <f>1/D31</f>
        <v>2.8571428571428571E-2</v>
      </c>
      <c r="B26" s="25"/>
      <c r="C26" s="36"/>
      <c r="D26" s="37"/>
      <c r="E26" s="32"/>
      <c r="F26" s="34"/>
      <c r="G26" s="33"/>
      <c r="H26" s="31"/>
      <c r="I26" s="35"/>
      <c r="J26" s="30"/>
      <c r="K26" s="38"/>
      <c r="L26" s="3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44"/>
      <c r="B27" s="25"/>
      <c r="C27" s="36"/>
      <c r="D27" s="37"/>
      <c r="E27" s="32"/>
      <c r="F27" s="34"/>
      <c r="G27" s="33"/>
      <c r="H27" s="31"/>
      <c r="I27" s="35"/>
      <c r="J27" s="30"/>
      <c r="K27" s="38"/>
      <c r="L27" s="3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3"/>
      <c r="B28" s="39"/>
      <c r="C28" s="40"/>
      <c r="D28" s="41"/>
      <c r="E28" s="42"/>
      <c r="F28" s="43"/>
      <c r="G28" s="33">
        <f t="shared" ref="G28:G29" si="4">F28/G$31</f>
        <v>0</v>
      </c>
      <c r="H28" s="24"/>
      <c r="I28" s="24"/>
      <c r="J28" s="44"/>
      <c r="K28" s="45"/>
      <c r="L28" s="33">
        <f t="shared" ref="L28:L29" si="5">K28/G$31</f>
        <v>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3"/>
      <c r="B29" s="13"/>
      <c r="C29" s="13"/>
      <c r="D29" s="41"/>
      <c r="E29" s="42"/>
      <c r="F29" s="46"/>
      <c r="G29" s="33">
        <f t="shared" si="4"/>
        <v>0</v>
      </c>
      <c r="H29" s="24"/>
      <c r="I29" s="24"/>
      <c r="J29" s="21"/>
      <c r="K29" s="45"/>
      <c r="L29" s="33">
        <f t="shared" si="5"/>
        <v>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3"/>
      <c r="B30" s="28"/>
      <c r="C30" s="48" t="s">
        <v>59</v>
      </c>
      <c r="D30" s="47">
        <f>SUM(D15:D24)</f>
        <v>17</v>
      </c>
      <c r="E30" s="42">
        <f>D30/D$31</f>
        <v>0.48571428571428571</v>
      </c>
      <c r="F30" s="60" t="s">
        <v>37</v>
      </c>
      <c r="G30" s="42">
        <f>SUM(G15:G29)</f>
        <v>0.4333333333333334</v>
      </c>
      <c r="H30" s="48" t="s">
        <v>38</v>
      </c>
      <c r="I30" s="47">
        <f>SUM(I15:I23)</f>
        <v>18</v>
      </c>
      <c r="J30" s="21"/>
      <c r="K30" s="60" t="s">
        <v>37</v>
      </c>
      <c r="L30" s="49">
        <f>SUM(K15:K29)/G31</f>
        <v>0.56666666666666665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50"/>
      <c r="B31" s="13"/>
      <c r="C31" s="51" t="s">
        <v>39</v>
      </c>
      <c r="D31" s="54">
        <v>35</v>
      </c>
      <c r="E31" s="52">
        <v>1</v>
      </c>
      <c r="F31" s="53" t="s">
        <v>40</v>
      </c>
      <c r="G31" s="61">
        <v>150</v>
      </c>
      <c r="H31" s="51" t="s">
        <v>39</v>
      </c>
      <c r="I31" s="54">
        <f>D31</f>
        <v>35</v>
      </c>
      <c r="J31" s="21"/>
      <c r="K31" s="24"/>
      <c r="L31" s="2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3"/>
      <c r="B32" s="13"/>
      <c r="C32" s="48" t="s">
        <v>41</v>
      </c>
      <c r="D32" s="41"/>
      <c r="E32" s="55"/>
      <c r="F32" s="55"/>
      <c r="G32" s="41"/>
      <c r="H32" s="41"/>
      <c r="I32" s="21"/>
      <c r="J32" s="21"/>
      <c r="K32" s="24"/>
      <c r="L32" s="2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5.75" customHeight="1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mergeCells count="3">
    <mergeCell ref="C13:F13"/>
    <mergeCell ref="A24:A25"/>
    <mergeCell ref="A26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Como usar a planilha</vt:lpstr>
      <vt:lpstr>Grade Horária</vt:lpstr>
      <vt:lpstr>Ex. Ciclo de estudos</vt:lpstr>
      <vt:lpstr>Exemplo TCDF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Alessandro Leite De Morais</cp:lastModifiedBy>
  <dcterms:created xsi:type="dcterms:W3CDTF">2021-03-24T20:19:12Z</dcterms:created>
  <dcterms:modified xsi:type="dcterms:W3CDTF">2025-05-11T02:29:22Z</dcterms:modified>
</cp:coreProperties>
</file>